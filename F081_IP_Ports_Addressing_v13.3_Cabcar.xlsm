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75815\Documents\REPO_PES\Herramientas-PES\"/>
    </mc:Choice>
  </mc:AlternateContent>
  <xr:revisionPtr revIDLastSave="0" documentId="13_ncr:1_{B926024D-78DE-4AEA-AA73-5276CDA8ED22}" xr6:coauthVersionLast="47" xr6:coauthVersionMax="47" xr10:uidLastSave="{00000000-0000-0000-0000-000000000000}"/>
  <bookViews>
    <workbookView xWindow="-120" yWindow="-120" windowWidth="29040" windowHeight="15720" tabRatio="747" firstSheet="3" activeTab="5" xr2:uid="{00000000-000D-0000-FFFF-FFFF00000000}"/>
  </bookViews>
  <sheets>
    <sheet name="Changelog" sheetId="3" r:id="rId1"/>
    <sheet name="TRAINSET OPTIONS" sheetId="9" r:id="rId2"/>
    <sheet name="MATRIX DEVICE COMMUNICATION" sheetId="8" r:id="rId3"/>
    <sheet name="IP Address (no mod)" sheetId="2" r:id="rId4"/>
    <sheet name="Train IP Addressing 15 COACHES" sheetId="6" r:id="rId5"/>
    <sheet name="Train IP Addressing 15 CabCar" sheetId="11" r:id="rId6"/>
  </sheets>
  <functionGroups builtInGroupCount="19"/>
  <definedNames>
    <definedName name="_xlnm._FilterDatabase" localSheetId="2" hidden="1">'MATRIX DEVICE COMMUNICATION'!$A$1:$K$60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Q30" i="11" l="1"/>
  <c r="BR30" i="11" s="1"/>
  <c r="BQ33" i="11"/>
  <c r="BR33" i="11" s="1"/>
  <c r="BQ35" i="11"/>
  <c r="BR35" i="11" s="1"/>
  <c r="BQ36" i="11"/>
  <c r="BR36" i="11" s="1"/>
  <c r="BQ44" i="11"/>
  <c r="BR44" i="11" s="1"/>
  <c r="BQ48" i="11"/>
  <c r="BR48" i="11" s="1"/>
  <c r="BQ49" i="11"/>
  <c r="BR49" i="11" s="1"/>
  <c r="BQ26" i="11"/>
  <c r="BQ32" i="11"/>
  <c r="BQ40" i="11"/>
  <c r="BQ46" i="11"/>
  <c r="BQ27" i="11"/>
  <c r="BQ47" i="11"/>
  <c r="BQ45" i="11"/>
  <c r="BQ29" i="11"/>
  <c r="BQ41" i="11"/>
  <c r="BQ28" i="11"/>
  <c r="BQ34" i="11"/>
  <c r="BQ42" i="11"/>
  <c r="BQ43" i="11"/>
  <c r="BQ31" i="11"/>
  <c r="BQ39" i="11"/>
  <c r="O90" i="6" l="1"/>
  <c r="I68" i="6"/>
  <c r="I45" i="11"/>
  <c r="Q47" i="11"/>
  <c r="Q45" i="11"/>
  <c r="EL33" i="6" l="1"/>
  <c r="I35" i="11"/>
  <c r="R53" i="11" l="1"/>
  <c r="R54" i="11"/>
  <c r="R55" i="11"/>
  <c r="R56" i="11"/>
  <c r="R57" i="11"/>
  <c r="R58" i="11"/>
  <c r="R35" i="11"/>
  <c r="R37" i="11"/>
  <c r="R38" i="11"/>
  <c r="R39" i="11"/>
  <c r="R40" i="11"/>
  <c r="J54" i="11"/>
  <c r="J55" i="11"/>
  <c r="J56" i="11"/>
  <c r="J57" i="11"/>
  <c r="J58" i="11"/>
  <c r="J36" i="11"/>
  <c r="J37" i="11"/>
  <c r="J38" i="11"/>
  <c r="J39" i="11"/>
  <c r="J40" i="11"/>
  <c r="Q44" i="11"/>
  <c r="Q26" i="11"/>
  <c r="Q46" i="11"/>
  <c r="Q29" i="11"/>
  <c r="Q27" i="11"/>
  <c r="Q28" i="11"/>
  <c r="Q52" i="11"/>
  <c r="Q36" i="11"/>
  <c r="Q34" i="11"/>
  <c r="Q48" i="11"/>
  <c r="Q31" i="11"/>
  <c r="Q49" i="11"/>
  <c r="Q51" i="11"/>
  <c r="Q50" i="11"/>
  <c r="BH49" i="11" l="1"/>
  <c r="BI49" i="11" s="1"/>
  <c r="AR49" i="11"/>
  <c r="AS49" i="11" s="1"/>
  <c r="Z49" i="11"/>
  <c r="AA49" i="11" s="1"/>
  <c r="BH48" i="11"/>
  <c r="BI48" i="11" s="1"/>
  <c r="AS48" i="11"/>
  <c r="Z48" i="11"/>
  <c r="AA48" i="11" s="1"/>
  <c r="BH47" i="11"/>
  <c r="BI47" i="11" s="1"/>
  <c r="BH44" i="11"/>
  <c r="BI44" i="11" s="1"/>
  <c r="Z44" i="11"/>
  <c r="AA44" i="11" s="1"/>
  <c r="BH42" i="11"/>
  <c r="BI42" i="11" s="1"/>
  <c r="BH36" i="11"/>
  <c r="BI36" i="11" s="1"/>
  <c r="AY36" i="11"/>
  <c r="AZ36" i="11" s="1"/>
  <c r="AR36" i="11"/>
  <c r="AS36" i="11" s="1"/>
  <c r="Z36" i="11"/>
  <c r="AA36" i="11" s="1"/>
  <c r="BH35" i="11"/>
  <c r="BI35" i="11" s="1"/>
  <c r="AY35" i="11"/>
  <c r="AZ35" i="11" s="1"/>
  <c r="AS35" i="11"/>
  <c r="Z35" i="11"/>
  <c r="AA35" i="11" s="1"/>
  <c r="BH34" i="11"/>
  <c r="BI34" i="11" s="1"/>
  <c r="BH33" i="11"/>
  <c r="BI33" i="11" s="1"/>
  <c r="Z33" i="11"/>
  <c r="AA33" i="11" s="1"/>
  <c r="BH30" i="11"/>
  <c r="BI30" i="11" s="1"/>
  <c r="Z30" i="11"/>
  <c r="AA30" i="11" s="1"/>
  <c r="AY28" i="11"/>
  <c r="AZ28" i="11" s="1"/>
  <c r="D20" i="2"/>
  <c r="I32" i="6"/>
  <c r="J49" i="11" l="1"/>
  <c r="J53" i="11"/>
  <c r="EL102" i="6"/>
  <c r="EM102" i="6" s="1"/>
  <c r="J102" i="6"/>
  <c r="CA23" i="6"/>
  <c r="I76" i="6"/>
  <c r="AA76" i="6"/>
  <c r="DT36" i="6"/>
  <c r="AZ37" i="6"/>
  <c r="EL50" i="6"/>
  <c r="CS36" i="6"/>
  <c r="R36" i="6"/>
  <c r="R63" i="6"/>
  <c r="AZ23" i="6"/>
  <c r="AJ23" i="6"/>
  <c r="EL47" i="6"/>
  <c r="CJ37" i="6"/>
  <c r="EL105" i="6"/>
  <c r="BI23" i="6"/>
  <c r="AZ63" i="6"/>
  <c r="I71" i="6"/>
  <c r="DB23" i="6"/>
  <c r="I65" i="6"/>
  <c r="R23" i="6"/>
  <c r="I47" i="6"/>
  <c r="DT76" i="6"/>
  <c r="I66" i="6"/>
  <c r="CS37" i="6"/>
  <c r="CS23" i="6"/>
  <c r="AJ76" i="6"/>
  <c r="EL23" i="6"/>
  <c r="EC63" i="6"/>
  <c r="AA63" i="6"/>
  <c r="DT63" i="6"/>
  <c r="EL37" i="6"/>
  <c r="BI37" i="6"/>
  <c r="AZ64" i="6"/>
  <c r="CS63" i="6"/>
  <c r="EL36" i="6"/>
  <c r="AZ76" i="6"/>
  <c r="I64" i="6"/>
  <c r="I105" i="6"/>
  <c r="I104" i="6"/>
  <c r="AJ37" i="6"/>
  <c r="CA37" i="6"/>
  <c r="EL63" i="6"/>
  <c r="BR37" i="6"/>
  <c r="AZ36" i="6"/>
  <c r="BI63" i="6"/>
  <c r="EC36" i="6"/>
  <c r="DB36" i="6"/>
  <c r="CA36" i="6"/>
  <c r="DB63" i="6"/>
  <c r="BI36" i="6"/>
  <c r="DK76" i="6"/>
  <c r="DK37" i="6"/>
  <c r="CJ63" i="6"/>
  <c r="EL48" i="6"/>
  <c r="AJ63" i="6"/>
  <c r="I103" i="6"/>
  <c r="DB37" i="6"/>
  <c r="CJ23" i="6"/>
  <c r="EL49" i="6"/>
  <c r="EC76" i="6"/>
  <c r="R76" i="6"/>
  <c r="DK23" i="6"/>
  <c r="EC23" i="6"/>
  <c r="AQ23" i="6"/>
  <c r="I23" i="6"/>
  <c r="I67" i="6"/>
  <c r="I106" i="6"/>
  <c r="AJ36" i="6"/>
  <c r="DT37" i="6"/>
  <c r="I37" i="6"/>
  <c r="I49" i="6"/>
  <c r="I36" i="6"/>
  <c r="I84" i="6"/>
  <c r="DK36" i="6"/>
  <c r="BI76" i="6"/>
  <c r="EL103" i="6"/>
  <c r="CJ36" i="6"/>
  <c r="I24" i="2"/>
  <c r="DB76" i="6"/>
  <c r="I50" i="6"/>
  <c r="EL106" i="6"/>
  <c r="I69" i="6"/>
  <c r="DT23" i="6"/>
  <c r="AA37" i="6"/>
  <c r="DK63" i="6"/>
  <c r="CJ76" i="6"/>
  <c r="CA76" i="6"/>
  <c r="BR36" i="6"/>
  <c r="R37" i="6"/>
  <c r="EC37" i="6"/>
  <c r="I101" i="6"/>
  <c r="H24" i="2"/>
  <c r="CA63" i="6"/>
  <c r="I48" i="6"/>
  <c r="EL76" i="6"/>
  <c r="EL104" i="6"/>
  <c r="AA36" i="6"/>
  <c r="BR23" i="6"/>
  <c r="AA23" i="6"/>
  <c r="BR76" i="6"/>
  <c r="I63" i="6"/>
  <c r="CS76" i="6"/>
  <c r="BR63" i="6"/>
  <c r="ET44" i="11"/>
  <c r="Z40" i="11"/>
  <c r="ET50" i="11"/>
  <c r="ET33" i="11"/>
  <c r="ET32" i="11"/>
  <c r="BH29" i="11"/>
  <c r="ET28" i="11"/>
  <c r="AY27" i="11"/>
  <c r="Z31" i="11"/>
  <c r="AR32" i="11"/>
  <c r="Z32" i="11"/>
  <c r="AY32" i="11"/>
  <c r="BH40" i="11"/>
  <c r="ET36" i="11"/>
  <c r="BH31" i="11"/>
  <c r="BH41" i="11"/>
  <c r="Z43" i="11"/>
  <c r="AR43" i="11"/>
  <c r="BH39" i="11"/>
  <c r="ET41" i="11"/>
  <c r="AR45" i="11"/>
  <c r="Z47" i="11"/>
  <c r="BH32" i="11"/>
  <c r="AR29" i="11"/>
  <c r="AR34" i="11"/>
  <c r="AR41" i="11"/>
  <c r="ET31" i="11"/>
  <c r="ET39" i="11"/>
  <c r="ET49" i="11"/>
  <c r="Z39" i="11"/>
  <c r="BH28" i="11"/>
  <c r="ET30" i="11"/>
  <c r="ET27" i="11"/>
  <c r="AR46" i="11"/>
  <c r="ET26" i="11"/>
  <c r="AR26" i="11"/>
  <c r="AR39" i="11"/>
  <c r="AY34" i="11"/>
  <c r="AR28" i="11"/>
  <c r="Z28" i="11"/>
  <c r="AR47" i="11"/>
  <c r="Z26" i="11"/>
  <c r="AR44" i="11"/>
  <c r="AY33" i="11"/>
  <c r="ET40" i="11"/>
  <c r="ET45" i="11"/>
  <c r="Z46" i="11"/>
  <c r="AR31" i="11"/>
  <c r="ET47" i="11"/>
  <c r="ET43" i="11"/>
  <c r="Z34" i="11"/>
  <c r="AR30" i="11"/>
  <c r="ET29" i="11"/>
  <c r="BH27" i="11"/>
  <c r="Z27" i="11"/>
  <c r="AY29" i="11"/>
  <c r="BH46" i="11"/>
  <c r="BH45" i="11"/>
  <c r="AY26" i="11"/>
  <c r="BH26" i="11"/>
  <c r="AY31" i="11"/>
  <c r="Z29" i="11"/>
  <c r="BH43" i="11"/>
  <c r="ET42" i="11"/>
  <c r="AY30" i="11"/>
  <c r="AR27" i="11"/>
  <c r="Z41" i="11"/>
  <c r="ET48" i="11"/>
  <c r="ET51" i="11"/>
  <c r="ET34" i="11"/>
  <c r="Z42" i="11"/>
  <c r="AR40" i="11"/>
  <c r="ET53" i="11"/>
  <c r="AR42" i="11"/>
  <c r="Z45" i="11"/>
  <c r="ET46" i="11"/>
  <c r="ET52" i="11"/>
  <c r="I29" i="11"/>
  <c r="I32" i="11"/>
  <c r="I59" i="11"/>
  <c r="I46" i="11"/>
  <c r="I61" i="11"/>
  <c r="I62" i="11"/>
  <c r="I44" i="11"/>
  <c r="I26" i="11"/>
  <c r="I47" i="11"/>
  <c r="I27" i="11"/>
  <c r="I28" i="11"/>
  <c r="I48" i="11"/>
  <c r="I60" i="11"/>
  <c r="I31" i="11"/>
  <c r="I50" i="11"/>
  <c r="I34" i="11"/>
  <c r="I30" i="11"/>
  <c r="I51" i="11"/>
  <c r="I52" i="11"/>
  <c r="I33" i="11"/>
  <c r="BR43" i="11" l="1"/>
  <c r="BR26" i="11"/>
  <c r="BR42" i="11"/>
  <c r="BR34" i="11"/>
  <c r="BR28" i="11"/>
  <c r="BR41" i="11"/>
  <c r="BR29" i="11"/>
  <c r="BR45" i="11"/>
  <c r="BR47" i="11"/>
  <c r="BR27" i="11"/>
  <c r="BR46" i="11"/>
  <c r="BR39" i="11"/>
  <c r="BR40" i="11"/>
  <c r="BR31" i="11"/>
  <c r="BR32" i="11"/>
  <c r="J24" i="2"/>
  <c r="J35" i="11"/>
  <c r="EU52" i="11"/>
  <c r="AS45" i="11"/>
  <c r="AZ27" i="11"/>
  <c r="AS47" i="11"/>
  <c r="EU48" i="11"/>
  <c r="J33" i="11"/>
  <c r="AA46" i="11"/>
  <c r="EU33" i="11"/>
  <c r="AS30" i="11"/>
  <c r="AS41" i="11"/>
  <c r="BI32" i="11"/>
  <c r="AS39" i="11"/>
  <c r="BI43" i="11"/>
  <c r="AA29" i="11"/>
  <c r="J59" i="11"/>
  <c r="EU28" i="11"/>
  <c r="EU30" i="11"/>
  <c r="BI26" i="11"/>
  <c r="AS28" i="11"/>
  <c r="BI29" i="11"/>
  <c r="AS32" i="11"/>
  <c r="EU31" i="11"/>
  <c r="BI45" i="11"/>
  <c r="BI31" i="11"/>
  <c r="H25" i="2"/>
  <c r="EU45" i="11"/>
  <c r="EU41" i="11"/>
  <c r="AA40" i="11"/>
  <c r="AA31" i="11"/>
  <c r="BI39" i="11"/>
  <c r="EU32" i="11"/>
  <c r="J62" i="11"/>
  <c r="AS42" i="11"/>
  <c r="EU29" i="11"/>
  <c r="EU42" i="11"/>
  <c r="AA27" i="11"/>
  <c r="J30" i="11"/>
  <c r="BI27" i="11"/>
  <c r="J34" i="11"/>
  <c r="EU46" i="11"/>
  <c r="AA34" i="11"/>
  <c r="J60" i="11"/>
  <c r="J29" i="11"/>
  <c r="J50" i="11"/>
  <c r="EU47" i="11"/>
  <c r="EU43" i="11"/>
  <c r="AS40" i="11"/>
  <c r="EU53" i="11"/>
  <c r="AA42" i="11"/>
  <c r="AZ31" i="11"/>
  <c r="BI46" i="11"/>
  <c r="AZ32" i="11"/>
  <c r="AA32" i="11"/>
  <c r="AZ29" i="11"/>
  <c r="AA39" i="11"/>
  <c r="J44" i="11"/>
  <c r="EU39" i="11"/>
  <c r="BI41" i="11"/>
  <c r="J32" i="11"/>
  <c r="J28" i="11"/>
  <c r="AZ30" i="11"/>
  <c r="AS29" i="11"/>
  <c r="EU44" i="11"/>
  <c r="AS33" i="11"/>
  <c r="R34" i="11"/>
  <c r="R51" i="11"/>
  <c r="EU26" i="11"/>
  <c r="J63" i="11"/>
  <c r="R28" i="11"/>
  <c r="R31" i="11"/>
  <c r="R32" i="11"/>
  <c r="R44" i="11"/>
  <c r="J64" i="11"/>
  <c r="EU55" i="11"/>
  <c r="R30" i="11"/>
  <c r="J66" i="11"/>
  <c r="EU56" i="11"/>
  <c r="EU35" i="11"/>
  <c r="J45" i="11"/>
  <c r="J65" i="11"/>
  <c r="R33" i="11"/>
  <c r="R50" i="11"/>
  <c r="R27" i="11"/>
  <c r="R36" i="11"/>
  <c r="J67" i="11"/>
  <c r="R48" i="11"/>
  <c r="R45" i="11"/>
  <c r="EU58" i="11"/>
  <c r="R52" i="11"/>
  <c r="R26" i="11"/>
  <c r="R29" i="11"/>
  <c r="R47" i="11"/>
  <c r="R46" i="11"/>
  <c r="EU54" i="11"/>
  <c r="EU57" i="11"/>
  <c r="R49" i="11"/>
  <c r="J47" i="11"/>
  <c r="AZ34" i="11"/>
  <c r="EU50" i="11"/>
  <c r="AS27" i="11"/>
  <c r="EU40" i="11"/>
  <c r="J26" i="11"/>
  <c r="J27" i="11"/>
  <c r="AA45" i="11"/>
  <c r="J51" i="11"/>
  <c r="AA26" i="11"/>
  <c r="BI40" i="11"/>
  <c r="BI28" i="11"/>
  <c r="J52" i="11"/>
  <c r="J31" i="11"/>
  <c r="AS46" i="11"/>
  <c r="AZ33" i="11"/>
  <c r="AS31" i="11"/>
  <c r="AA47" i="11"/>
  <c r="EU27" i="11"/>
  <c r="AZ26" i="11"/>
  <c r="EU49" i="11"/>
  <c r="AS44" i="11"/>
  <c r="AS43" i="11"/>
  <c r="AA41" i="11"/>
  <c r="J61" i="11"/>
  <c r="EU51" i="11"/>
  <c r="AS34" i="11"/>
  <c r="EU36" i="11"/>
  <c r="J48" i="11"/>
  <c r="AS26" i="11"/>
  <c r="EU34" i="11"/>
  <c r="AA28" i="11"/>
  <c r="AA43" i="11"/>
  <c r="J46" i="11"/>
  <c r="J29" i="2"/>
  <c r="J28" i="2"/>
  <c r="DS59" i="6" l="1"/>
  <c r="DT86" i="6" l="1"/>
  <c r="DU86" i="6" s="1"/>
  <c r="DT73" i="6"/>
  <c r="DU73" i="6" s="1"/>
  <c r="DT72" i="6"/>
  <c r="DU72" i="6" s="1"/>
  <c r="DB86" i="6"/>
  <c r="DC86" i="6" s="1"/>
  <c r="DB73" i="6"/>
  <c r="DC73" i="6" s="1"/>
  <c r="DB72" i="6"/>
  <c r="DC72" i="6" s="1"/>
  <c r="CJ86" i="6"/>
  <c r="CK86" i="6" s="1"/>
  <c r="CJ73" i="6"/>
  <c r="CK73" i="6" s="1"/>
  <c r="CJ72" i="6"/>
  <c r="CK72" i="6" s="1"/>
  <c r="BR86" i="6"/>
  <c r="BS86" i="6" s="1"/>
  <c r="BR73" i="6"/>
  <c r="BS73" i="6" s="1"/>
  <c r="BR72" i="6"/>
  <c r="BS72" i="6" s="1"/>
  <c r="AZ86" i="6"/>
  <c r="BA86" i="6" s="1"/>
  <c r="AZ73" i="6"/>
  <c r="BA73" i="6" s="1"/>
  <c r="AZ72" i="6"/>
  <c r="BA72" i="6" s="1"/>
  <c r="EC86" i="6"/>
  <c r="ED86" i="6" s="1"/>
  <c r="EC84" i="6"/>
  <c r="ED84" i="6" s="1"/>
  <c r="EC73" i="6"/>
  <c r="ED73" i="6" s="1"/>
  <c r="EC72" i="6"/>
  <c r="ED72" i="6" s="1"/>
  <c r="EC71" i="6"/>
  <c r="ED71" i="6" s="1"/>
  <c r="EC70" i="6"/>
  <c r="ED70" i="6" s="1"/>
  <c r="DK86" i="6"/>
  <c r="DL86" i="6" s="1"/>
  <c r="DK84" i="6"/>
  <c r="DL84" i="6" s="1"/>
  <c r="DK73" i="6"/>
  <c r="DL73" i="6" s="1"/>
  <c r="DK72" i="6"/>
  <c r="DL72" i="6" s="1"/>
  <c r="DK71" i="6"/>
  <c r="DL71" i="6" s="1"/>
  <c r="DK70" i="6"/>
  <c r="DL70" i="6" s="1"/>
  <c r="CS86" i="6"/>
  <c r="CT86" i="6" s="1"/>
  <c r="CS84" i="6"/>
  <c r="CT84" i="6" s="1"/>
  <c r="CS73" i="6"/>
  <c r="CT73" i="6" s="1"/>
  <c r="CS72" i="6"/>
  <c r="CT72" i="6" s="1"/>
  <c r="CS71" i="6"/>
  <c r="CT71" i="6" s="1"/>
  <c r="CS70" i="6"/>
  <c r="CT70" i="6" s="1"/>
  <c r="CA86" i="6"/>
  <c r="CB86" i="6" s="1"/>
  <c r="CA84" i="6"/>
  <c r="CB84" i="6" s="1"/>
  <c r="CA73" i="6"/>
  <c r="CB73" i="6" s="1"/>
  <c r="CA72" i="6"/>
  <c r="CB72" i="6" s="1"/>
  <c r="CA71" i="6"/>
  <c r="CB71" i="6" s="1"/>
  <c r="CA70" i="6"/>
  <c r="CB70" i="6" s="1"/>
  <c r="BI86" i="6"/>
  <c r="BJ86" i="6" s="1"/>
  <c r="BI84" i="6"/>
  <c r="BJ84" i="6" s="1"/>
  <c r="BI73" i="6"/>
  <c r="BJ73" i="6" s="1"/>
  <c r="BI72" i="6"/>
  <c r="BJ72" i="6" s="1"/>
  <c r="BI71" i="6"/>
  <c r="BJ71" i="6" s="1"/>
  <c r="BI70" i="6"/>
  <c r="BJ70" i="6" s="1"/>
  <c r="EL98" i="6"/>
  <c r="EM98" i="6" s="1"/>
  <c r="EL97" i="6"/>
  <c r="EM97" i="6" s="1"/>
  <c r="EL96" i="6"/>
  <c r="EM96" i="6" s="1"/>
  <c r="EL95" i="6"/>
  <c r="EM95" i="6" s="1"/>
  <c r="EL94" i="6"/>
  <c r="EM94" i="6" s="1"/>
  <c r="EL93" i="6"/>
  <c r="EM93" i="6" s="1"/>
  <c r="EL86" i="6"/>
  <c r="EM86" i="6" s="1"/>
  <c r="EL78" i="6"/>
  <c r="EM78" i="6" s="1"/>
  <c r="EL77" i="6"/>
  <c r="EM77" i="6" s="1"/>
  <c r="EL73" i="6"/>
  <c r="EM73" i="6" s="1"/>
  <c r="DT46" i="6"/>
  <c r="DU46" i="6" s="1"/>
  <c r="DT45" i="6"/>
  <c r="DU45" i="6" s="1"/>
  <c r="DT44" i="6"/>
  <c r="DU44" i="6" s="1"/>
  <c r="DT41" i="6"/>
  <c r="DU41" i="6" s="1"/>
  <c r="DT39" i="6"/>
  <c r="DU39" i="6" s="1"/>
  <c r="DT33" i="6"/>
  <c r="DU33" i="6" s="1"/>
  <c r="DT32" i="6"/>
  <c r="DU32" i="6" s="1"/>
  <c r="DT31" i="6"/>
  <c r="DU31" i="6" s="1"/>
  <c r="DT30" i="6"/>
  <c r="DU30" i="6" s="1"/>
  <c r="DT27" i="6"/>
  <c r="DU27" i="6" s="1"/>
  <c r="DB46" i="6"/>
  <c r="DC46" i="6" s="1"/>
  <c r="DB45" i="6"/>
  <c r="DC45" i="6" s="1"/>
  <c r="DB44" i="6"/>
  <c r="DC44" i="6" s="1"/>
  <c r="DB41" i="6"/>
  <c r="DC41" i="6" s="1"/>
  <c r="DB39" i="6"/>
  <c r="DC39" i="6" s="1"/>
  <c r="DB33" i="6"/>
  <c r="DC33" i="6" s="1"/>
  <c r="DB32" i="6"/>
  <c r="DC32" i="6" s="1"/>
  <c r="DB31" i="6"/>
  <c r="DC31" i="6" s="1"/>
  <c r="DB30" i="6"/>
  <c r="DC30" i="6" s="1"/>
  <c r="DB27" i="6"/>
  <c r="DC27" i="6" s="1"/>
  <c r="CJ46" i="6"/>
  <c r="CK46" i="6" s="1"/>
  <c r="CJ45" i="6"/>
  <c r="CK45" i="6" s="1"/>
  <c r="CJ44" i="6"/>
  <c r="CK44" i="6" s="1"/>
  <c r="CJ41" i="6"/>
  <c r="CK41" i="6" s="1"/>
  <c r="CJ39" i="6"/>
  <c r="CK39" i="6" s="1"/>
  <c r="CJ33" i="6"/>
  <c r="CK33" i="6" s="1"/>
  <c r="CJ32" i="6"/>
  <c r="CK32" i="6" s="1"/>
  <c r="CJ31" i="6"/>
  <c r="CK31" i="6" s="1"/>
  <c r="CJ30" i="6"/>
  <c r="CK30" i="6" s="1"/>
  <c r="CJ27" i="6"/>
  <c r="CK27" i="6" s="1"/>
  <c r="BR46" i="6"/>
  <c r="BS46" i="6" s="1"/>
  <c r="BR45" i="6"/>
  <c r="BS45" i="6" s="1"/>
  <c r="BR44" i="6"/>
  <c r="BS44" i="6" s="1"/>
  <c r="BR41" i="6"/>
  <c r="BS41" i="6" s="1"/>
  <c r="BR39" i="6"/>
  <c r="BS39" i="6" s="1"/>
  <c r="BR33" i="6"/>
  <c r="BS33" i="6" s="1"/>
  <c r="BR32" i="6"/>
  <c r="BS32" i="6" s="1"/>
  <c r="BR31" i="6"/>
  <c r="BS31" i="6" s="1"/>
  <c r="BR30" i="6"/>
  <c r="BS30" i="6" s="1"/>
  <c r="BR27" i="6"/>
  <c r="BS27" i="6" s="1"/>
  <c r="AZ46" i="6"/>
  <c r="BA46" i="6" s="1"/>
  <c r="AZ45" i="6"/>
  <c r="BA45" i="6" s="1"/>
  <c r="AZ44" i="6"/>
  <c r="BA44" i="6" s="1"/>
  <c r="AZ41" i="6"/>
  <c r="BA41" i="6" s="1"/>
  <c r="AZ39" i="6"/>
  <c r="BA39" i="6" s="1"/>
  <c r="AZ33" i="6"/>
  <c r="BA33" i="6" s="1"/>
  <c r="AZ32" i="6"/>
  <c r="BA32" i="6" s="1"/>
  <c r="AZ31" i="6"/>
  <c r="BA31" i="6" s="1"/>
  <c r="AZ30" i="6"/>
  <c r="BA30" i="6" s="1"/>
  <c r="AZ27" i="6"/>
  <c r="BA27" i="6" s="1"/>
  <c r="AA86" i="6"/>
  <c r="AA72" i="6"/>
  <c r="AA73" i="6"/>
  <c r="R84" i="6"/>
  <c r="R86" i="6"/>
  <c r="R73" i="6"/>
  <c r="R72" i="6"/>
  <c r="I93" i="6"/>
  <c r="I95" i="6"/>
  <c r="I97" i="6"/>
  <c r="I94" i="6"/>
  <c r="I96" i="6"/>
  <c r="I98" i="6"/>
  <c r="I78" i="6"/>
  <c r="I86" i="6"/>
  <c r="I85" i="6"/>
  <c r="I77" i="6"/>
  <c r="I73" i="6"/>
  <c r="AQ25" i="6"/>
  <c r="AQ33" i="6"/>
  <c r="AQ32" i="6"/>
  <c r="AJ46" i="6"/>
  <c r="AJ33" i="6"/>
  <c r="AJ30" i="6"/>
  <c r="AA44" i="6"/>
  <c r="AA46" i="6"/>
  <c r="AA39" i="6"/>
  <c r="AA41" i="6"/>
  <c r="AA45" i="6"/>
  <c r="AA27" i="6"/>
  <c r="AA31" i="6"/>
  <c r="AA33" i="6"/>
  <c r="AA30" i="6"/>
  <c r="AA32" i="6"/>
  <c r="R27" i="6"/>
  <c r="R71" i="6"/>
  <c r="R70" i="6"/>
  <c r="EL85" i="6"/>
  <c r="AJ86" i="6"/>
  <c r="AB86" i="6" l="1"/>
  <c r="AB73" i="6"/>
  <c r="AB72" i="6"/>
  <c r="S86" i="6"/>
  <c r="S84" i="6"/>
  <c r="S70" i="6"/>
  <c r="S72" i="6"/>
  <c r="S73" i="6"/>
  <c r="S71" i="6"/>
  <c r="J98" i="6"/>
  <c r="J96" i="6"/>
  <c r="J94" i="6"/>
  <c r="J97" i="6"/>
  <c r="J95" i="6"/>
  <c r="J93" i="6"/>
  <c r="J85" i="6"/>
  <c r="J86" i="6"/>
  <c r="J78" i="6"/>
  <c r="J77" i="6"/>
  <c r="J73" i="6"/>
  <c r="AR32" i="6"/>
  <c r="AR33" i="6"/>
  <c r="AR25" i="6"/>
  <c r="AK45" i="6"/>
  <c r="AK46" i="6"/>
  <c r="AK32" i="6"/>
  <c r="AK30" i="6"/>
  <c r="AK33" i="6"/>
  <c r="AB45" i="6"/>
  <c r="AB41" i="6"/>
  <c r="AB39" i="6"/>
  <c r="AB46" i="6"/>
  <c r="AB44" i="6"/>
  <c r="AB32" i="6"/>
  <c r="AB30" i="6"/>
  <c r="AB33" i="6"/>
  <c r="AB31" i="6"/>
  <c r="AB27" i="6"/>
  <c r="S27" i="6"/>
  <c r="R30" i="6"/>
  <c r="AJ84" i="6"/>
  <c r="AA28" i="6"/>
  <c r="DB26" i="6"/>
  <c r="DK65" i="6"/>
  <c r="DK83" i="6"/>
  <c r="DT25" i="6"/>
  <c r="EC80" i="6"/>
  <c r="CS81" i="6"/>
  <c r="DB64" i="6"/>
  <c r="CA65" i="6"/>
  <c r="R26" i="6"/>
  <c r="AJ26" i="6"/>
  <c r="AJ80" i="6"/>
  <c r="AA38" i="6"/>
  <c r="CA79" i="6"/>
  <c r="CS82" i="6"/>
  <c r="AJ77" i="6"/>
  <c r="I79" i="6"/>
  <c r="BR69" i="6"/>
  <c r="AJ82" i="6"/>
  <c r="CJ40" i="6"/>
  <c r="CJ78" i="6"/>
  <c r="DK80" i="6"/>
  <c r="CJ43" i="6"/>
  <c r="BI77" i="6"/>
  <c r="AJ68" i="6"/>
  <c r="BR68" i="6"/>
  <c r="AJ39" i="6"/>
  <c r="AA67" i="6"/>
  <c r="EC81" i="6"/>
  <c r="EL99" i="6"/>
  <c r="BR66" i="6"/>
  <c r="BI79" i="6"/>
  <c r="CJ25" i="6"/>
  <c r="AJ31" i="6"/>
  <c r="EL83" i="6"/>
  <c r="AZ79" i="6"/>
  <c r="BI85" i="6"/>
  <c r="CJ38" i="6"/>
  <c r="R78" i="6"/>
  <c r="DK85" i="6"/>
  <c r="DB29" i="6"/>
  <c r="CJ85" i="6"/>
  <c r="DB80" i="6"/>
  <c r="AA66" i="6"/>
  <c r="AZ69" i="6"/>
  <c r="EC65" i="6"/>
  <c r="AA64" i="6"/>
  <c r="CJ83" i="6"/>
  <c r="AJ69" i="6"/>
  <c r="BI67" i="6"/>
  <c r="EL87" i="6"/>
  <c r="CJ70" i="6"/>
  <c r="AJ41" i="6"/>
  <c r="CA67" i="6"/>
  <c r="AJ78" i="6"/>
  <c r="BR82" i="6"/>
  <c r="DT78" i="6"/>
  <c r="BI64" i="6"/>
  <c r="DT64" i="6"/>
  <c r="DT71" i="6"/>
  <c r="DT81" i="6"/>
  <c r="CA81" i="6"/>
  <c r="EC83" i="6"/>
  <c r="EC78" i="6"/>
  <c r="DT77" i="6"/>
  <c r="DK68" i="6"/>
  <c r="R80" i="6"/>
  <c r="AJ83" i="6"/>
  <c r="EL90" i="6"/>
  <c r="DT67" i="6"/>
  <c r="DT40" i="6"/>
  <c r="BR65" i="6"/>
  <c r="CA68" i="6"/>
  <c r="AJ27" i="6"/>
  <c r="EL88" i="6"/>
  <c r="R69" i="6"/>
  <c r="R83" i="6"/>
  <c r="CJ29" i="6"/>
  <c r="EL71" i="6"/>
  <c r="CS69" i="6"/>
  <c r="CJ71" i="6"/>
  <c r="CS77" i="6"/>
  <c r="AA42" i="6"/>
  <c r="R29" i="6"/>
  <c r="R68" i="6"/>
  <c r="DT84" i="6"/>
  <c r="CJ81" i="6"/>
  <c r="AA29" i="6"/>
  <c r="DT82" i="6"/>
  <c r="DB65" i="6"/>
  <c r="CS83" i="6"/>
  <c r="I87" i="6"/>
  <c r="AA70" i="6"/>
  <c r="CA85" i="6"/>
  <c r="EC77" i="6"/>
  <c r="EL91" i="6"/>
  <c r="DB42" i="6"/>
  <c r="AJ29" i="6"/>
  <c r="DT79" i="6"/>
  <c r="DT29" i="6"/>
  <c r="EL79" i="6"/>
  <c r="BR29" i="6"/>
  <c r="BR83" i="6"/>
  <c r="DB71" i="6"/>
  <c r="AZ67" i="6"/>
  <c r="DB77" i="6"/>
  <c r="EC82" i="6"/>
  <c r="DK77" i="6"/>
  <c r="DB84" i="6"/>
  <c r="DT43" i="6"/>
  <c r="AQ26" i="6"/>
  <c r="EL92" i="6"/>
  <c r="AA40" i="6"/>
  <c r="AA78" i="6"/>
  <c r="BR42" i="6"/>
  <c r="EL100" i="6"/>
  <c r="AZ78" i="6"/>
  <c r="EC66" i="6"/>
  <c r="DT68" i="6"/>
  <c r="DB79" i="6"/>
  <c r="BR26" i="6"/>
  <c r="AA81" i="6"/>
  <c r="AJ28" i="6"/>
  <c r="CJ84" i="6"/>
  <c r="AQ29" i="6"/>
  <c r="CJ79" i="6"/>
  <c r="AZ26" i="6"/>
  <c r="AJ25" i="6"/>
  <c r="DB82" i="6"/>
  <c r="CJ67" i="6"/>
  <c r="CJ80" i="6"/>
  <c r="AZ84" i="6"/>
  <c r="AA77" i="6"/>
  <c r="BR79" i="6"/>
  <c r="CA66" i="6"/>
  <c r="AZ83" i="6"/>
  <c r="R79" i="6"/>
  <c r="I81" i="6"/>
  <c r="BI82" i="6"/>
  <c r="AA43" i="6"/>
  <c r="CJ28" i="6"/>
  <c r="CS78" i="6"/>
  <c r="BR84" i="6"/>
  <c r="CJ69" i="6"/>
  <c r="BI69" i="6"/>
  <c r="DB70" i="6"/>
  <c r="AJ66" i="6"/>
  <c r="CS79" i="6"/>
  <c r="BI78" i="6"/>
  <c r="CS85" i="6"/>
  <c r="EL67" i="6"/>
  <c r="DT38" i="6"/>
  <c r="AJ72" i="6"/>
  <c r="CA80" i="6"/>
  <c r="R66" i="6"/>
  <c r="AJ64" i="6"/>
  <c r="BR71" i="6"/>
  <c r="BR43" i="6"/>
  <c r="EL68" i="6"/>
  <c r="DB67" i="6"/>
  <c r="DT28" i="6"/>
  <c r="CJ66" i="6"/>
  <c r="CS67" i="6"/>
  <c r="DB40" i="6"/>
  <c r="I100" i="6"/>
  <c r="DT65" i="6"/>
  <c r="EL82" i="6"/>
  <c r="DB81" i="6"/>
  <c r="DB38" i="6"/>
  <c r="DB25" i="6"/>
  <c r="DB68" i="6"/>
  <c r="CJ65" i="6"/>
  <c r="AJ43" i="6"/>
  <c r="BR28" i="6"/>
  <c r="AJ70" i="6"/>
  <c r="AA25" i="6"/>
  <c r="EC64" i="6"/>
  <c r="BR77" i="6"/>
  <c r="BI65" i="6"/>
  <c r="CS80" i="6"/>
  <c r="AZ28" i="6"/>
  <c r="AJ81" i="6"/>
  <c r="DK81" i="6"/>
  <c r="BI80" i="6"/>
  <c r="I83" i="6"/>
  <c r="EC79" i="6"/>
  <c r="CJ77" i="6"/>
  <c r="AA82" i="6"/>
  <c r="DK67" i="6"/>
  <c r="CS64" i="6"/>
  <c r="EL64" i="6"/>
  <c r="AA65" i="6"/>
  <c r="CJ26" i="6"/>
  <c r="AJ85" i="6"/>
  <c r="AA71" i="6"/>
  <c r="DT83" i="6"/>
  <c r="AA83" i="6"/>
  <c r="BR80" i="6"/>
  <c r="I90" i="6"/>
  <c r="AA69" i="6"/>
  <c r="AZ82" i="6"/>
  <c r="CS68" i="6"/>
  <c r="DK78" i="6"/>
  <c r="AQ30" i="6"/>
  <c r="BI81" i="6"/>
  <c r="EL101" i="6"/>
  <c r="R81" i="6"/>
  <c r="I99" i="6"/>
  <c r="AJ38" i="6"/>
  <c r="AZ85" i="6"/>
  <c r="AA84" i="6"/>
  <c r="CS65" i="6"/>
  <c r="BR64" i="6"/>
  <c r="AZ71" i="6"/>
  <c r="EL66" i="6"/>
  <c r="AQ24" i="6"/>
  <c r="EL89" i="6"/>
  <c r="DB83" i="6"/>
  <c r="AJ65" i="6"/>
  <c r="DT66" i="6"/>
  <c r="EL81" i="6"/>
  <c r="DT85" i="6"/>
  <c r="AZ81" i="6"/>
  <c r="AQ27" i="6"/>
  <c r="DK64" i="6"/>
  <c r="EL80" i="6"/>
  <c r="AJ42" i="6"/>
  <c r="AA79" i="6"/>
  <c r="AZ38" i="6"/>
  <c r="DT26" i="6"/>
  <c r="R77" i="6"/>
  <c r="CJ42" i="6"/>
  <c r="DT70" i="6"/>
  <c r="I72" i="6"/>
  <c r="EC69" i="6"/>
  <c r="EL69" i="6"/>
  <c r="DB85" i="6"/>
  <c r="I89" i="6"/>
  <c r="BR78" i="6"/>
  <c r="AJ24" i="6"/>
  <c r="R65" i="6"/>
  <c r="AQ31" i="6"/>
  <c r="BR67" i="6"/>
  <c r="AJ40" i="6"/>
  <c r="CA83" i="6"/>
  <c r="DB28" i="6"/>
  <c r="R67" i="6"/>
  <c r="EL65" i="6"/>
  <c r="CJ24" i="6"/>
  <c r="AA24" i="6"/>
  <c r="DK66" i="6"/>
  <c r="CJ64" i="6"/>
  <c r="AZ24" i="6"/>
  <c r="DK79" i="6"/>
  <c r="DB78" i="6"/>
  <c r="DK82" i="6"/>
  <c r="AZ66" i="6"/>
  <c r="CJ68" i="6"/>
  <c r="CA78" i="6"/>
  <c r="BR81" i="6"/>
  <c r="AJ79" i="6"/>
  <c r="CA77" i="6"/>
  <c r="DB43" i="6"/>
  <c r="I91" i="6"/>
  <c r="AQ28" i="6"/>
  <c r="AZ29" i="6"/>
  <c r="I92" i="6"/>
  <c r="AA80" i="6"/>
  <c r="EC68" i="6"/>
  <c r="AZ42" i="6"/>
  <c r="BR85" i="6"/>
  <c r="DT69" i="6"/>
  <c r="DB69" i="6"/>
  <c r="BR70" i="6"/>
  <c r="AJ44" i="6"/>
  <c r="AA68" i="6"/>
  <c r="I80" i="6"/>
  <c r="AJ67" i="6"/>
  <c r="AZ70" i="6"/>
  <c r="EL72" i="6"/>
  <c r="CS66" i="6"/>
  <c r="CJ82" i="6"/>
  <c r="BR25" i="6"/>
  <c r="AZ40" i="6"/>
  <c r="DT80" i="6"/>
  <c r="AZ68" i="6"/>
  <c r="R82" i="6"/>
  <c r="I82" i="6"/>
  <c r="DT24" i="6"/>
  <c r="I88" i="6"/>
  <c r="DT42" i="6"/>
  <c r="CA82" i="6"/>
  <c r="EC67" i="6"/>
  <c r="R85" i="6"/>
  <c r="CA64" i="6"/>
  <c r="AZ25" i="6"/>
  <c r="BI66" i="6"/>
  <c r="BI83" i="6"/>
  <c r="DB66" i="6"/>
  <c r="EC85" i="6"/>
  <c r="AA26" i="6"/>
  <c r="DK69" i="6"/>
  <c r="R28" i="6"/>
  <c r="DB24" i="6"/>
  <c r="R25" i="6"/>
  <c r="AZ65" i="6"/>
  <c r="BR38" i="6"/>
  <c r="AZ77" i="6"/>
  <c r="R64" i="6"/>
  <c r="CA69" i="6"/>
  <c r="EL84" i="6"/>
  <c r="R24" i="6"/>
  <c r="AZ43" i="6"/>
  <c r="BR24" i="6"/>
  <c r="AA85" i="6"/>
  <c r="BI68" i="6"/>
  <c r="BR40" i="6"/>
  <c r="AZ80" i="6"/>
  <c r="S30" i="6" l="1"/>
  <c r="R32" i="6"/>
  <c r="R31" i="6"/>
  <c r="S32" i="6" l="1"/>
  <c r="R33" i="6"/>
  <c r="S33" i="6" l="1"/>
  <c r="R41" i="6"/>
  <c r="R40" i="6"/>
  <c r="R39" i="6"/>
  <c r="R38" i="6"/>
  <c r="S41" i="6" l="1"/>
  <c r="R45" i="6"/>
  <c r="R42" i="6"/>
  <c r="R44" i="6"/>
  <c r="R43" i="6"/>
  <c r="S45" i="6" l="1"/>
  <c r="R46" i="6"/>
  <c r="S46" i="6" l="1"/>
  <c r="EC46" i="6"/>
  <c r="ED46" i="6" s="1"/>
  <c r="EC45" i="6"/>
  <c r="ED45" i="6" s="1"/>
  <c r="EC41" i="6"/>
  <c r="ED41" i="6" s="1"/>
  <c r="EC33" i="6"/>
  <c r="ED33" i="6" s="1"/>
  <c r="EC32" i="6"/>
  <c r="ED32" i="6" s="1"/>
  <c r="EC30" i="6"/>
  <c r="ED30" i="6" s="1"/>
  <c r="EC27" i="6"/>
  <c r="ED27" i="6" s="1"/>
  <c r="DK46" i="6"/>
  <c r="DL46" i="6" s="1"/>
  <c r="DK45" i="6"/>
  <c r="DL45" i="6" s="1"/>
  <c r="DK41" i="6"/>
  <c r="DL41" i="6" s="1"/>
  <c r="DK33" i="6"/>
  <c r="DL33" i="6" s="1"/>
  <c r="DK32" i="6"/>
  <c r="DL32" i="6" s="1"/>
  <c r="DK30" i="6"/>
  <c r="DL30" i="6" s="1"/>
  <c r="DK27" i="6"/>
  <c r="DL27" i="6" s="1"/>
  <c r="CS46" i="6"/>
  <c r="CT46" i="6" s="1"/>
  <c r="CS45" i="6"/>
  <c r="CT45" i="6" s="1"/>
  <c r="CS41" i="6"/>
  <c r="CT41" i="6" s="1"/>
  <c r="CS33" i="6"/>
  <c r="CT33" i="6" s="1"/>
  <c r="CS32" i="6"/>
  <c r="CT32" i="6" s="1"/>
  <c r="CS30" i="6"/>
  <c r="CT30" i="6" s="1"/>
  <c r="CS27" i="6"/>
  <c r="CT27" i="6" s="1"/>
  <c r="CA46" i="6"/>
  <c r="CB46" i="6" s="1"/>
  <c r="CA45" i="6"/>
  <c r="CB45" i="6" s="1"/>
  <c r="CA41" i="6"/>
  <c r="CB41" i="6" s="1"/>
  <c r="CA33" i="6"/>
  <c r="CB33" i="6" s="1"/>
  <c r="CA32" i="6"/>
  <c r="CB32" i="6" s="1"/>
  <c r="CA30" i="6"/>
  <c r="CB30" i="6" s="1"/>
  <c r="CA27" i="6"/>
  <c r="CB27" i="6" s="1"/>
  <c r="BI46" i="6"/>
  <c r="BJ46" i="6" s="1"/>
  <c r="BI45" i="6"/>
  <c r="BJ45" i="6" s="1"/>
  <c r="BI41" i="6"/>
  <c r="BJ41" i="6" s="1"/>
  <c r="BI33" i="6"/>
  <c r="BJ33" i="6" s="1"/>
  <c r="BI32" i="6"/>
  <c r="BJ32" i="6" s="1"/>
  <c r="BI30" i="6"/>
  <c r="BJ30" i="6" s="1"/>
  <c r="BI27" i="6"/>
  <c r="BJ27" i="6" s="1"/>
  <c r="CA42" i="6"/>
  <c r="I46" i="6"/>
  <c r="CA43" i="6"/>
  <c r="BI38" i="6"/>
  <c r="BI43" i="6"/>
  <c r="I25" i="6"/>
  <c r="CA39" i="6"/>
  <c r="CS24" i="6"/>
  <c r="I33" i="6"/>
  <c r="DK24" i="6"/>
  <c r="CS40" i="6"/>
  <c r="DK31" i="6"/>
  <c r="I45" i="6"/>
  <c r="I39" i="6"/>
  <c r="EC43" i="6"/>
  <c r="BI31" i="6"/>
  <c r="I42" i="6"/>
  <c r="BI44" i="6"/>
  <c r="CS39" i="6"/>
  <c r="CA24" i="6"/>
  <c r="EC31" i="6"/>
  <c r="CS29" i="6"/>
  <c r="EC24" i="6"/>
  <c r="DK25" i="6"/>
  <c r="CA44" i="6"/>
  <c r="I24" i="6"/>
  <c r="EC29" i="6"/>
  <c r="CS42" i="6"/>
  <c r="EC39" i="6"/>
  <c r="CS43" i="6"/>
  <c r="I38" i="6"/>
  <c r="DK39" i="6"/>
  <c r="CA38" i="6"/>
  <c r="EC25" i="6"/>
  <c r="DK26" i="6"/>
  <c r="CS44" i="6"/>
  <c r="BI24" i="6"/>
  <c r="CA26" i="6"/>
  <c r="BI42" i="6"/>
  <c r="BI29" i="6"/>
  <c r="CS38" i="6"/>
  <c r="DK44" i="6"/>
  <c r="DK43" i="6"/>
  <c r="I29" i="6"/>
  <c r="BI26" i="6"/>
  <c r="I28" i="6"/>
  <c r="CA28" i="6"/>
  <c r="I40" i="6"/>
  <c r="EC40" i="6"/>
  <c r="DK28" i="6"/>
  <c r="CS28" i="6"/>
  <c r="CA25" i="6"/>
  <c r="CA29" i="6"/>
  <c r="DK40" i="6"/>
  <c r="I41" i="6"/>
  <c r="CA31" i="6"/>
  <c r="DK29" i="6"/>
  <c r="BI39" i="6"/>
  <c r="I26" i="6"/>
  <c r="I43" i="6"/>
  <c r="EC42" i="6"/>
  <c r="CS26" i="6"/>
  <c r="CS31" i="6"/>
  <c r="DK42" i="6"/>
  <c r="I30" i="6"/>
  <c r="BI28" i="6"/>
  <c r="EC38" i="6"/>
  <c r="BI25" i="6"/>
  <c r="EC28" i="6"/>
  <c r="CA40" i="6"/>
  <c r="BI40" i="6"/>
  <c r="EC44" i="6"/>
  <c r="DK38" i="6"/>
  <c r="I31" i="6"/>
  <c r="I44" i="6"/>
  <c r="EC26" i="6"/>
  <c r="CS25" i="6"/>
  <c r="I27" i="6"/>
  <c r="J32" i="6" l="1"/>
  <c r="EK59" i="6"/>
  <c r="EB59" i="6"/>
  <c r="DJ59" i="6"/>
  <c r="DA59" i="6"/>
  <c r="CR59" i="6"/>
  <c r="CI59" i="6"/>
  <c r="BZ59" i="6"/>
  <c r="BQ59" i="6"/>
  <c r="BH59" i="6"/>
  <c r="AY59" i="6"/>
  <c r="AI59" i="6"/>
  <c r="Z59" i="6"/>
  <c r="Q59" i="6"/>
  <c r="G25" i="2" l="1"/>
  <c r="F25" i="2"/>
  <c r="G19" i="2"/>
  <c r="D21" i="2"/>
  <c r="E21" i="2" s="1"/>
  <c r="E14" i="2"/>
  <c r="D11" i="2"/>
  <c r="D13" i="2"/>
  <c r="D12" i="2"/>
  <c r="E20" i="2" l="1"/>
  <c r="EL28" i="6"/>
  <c r="EL38" i="6"/>
  <c r="EL30" i="6"/>
  <c r="EL24" i="6"/>
  <c r="EL40" i="6"/>
  <c r="EL39" i="6"/>
  <c r="EL31" i="6"/>
  <c r="EL44" i="6"/>
  <c r="EL25" i="6"/>
  <c r="EL29" i="6"/>
  <c r="G21" i="2"/>
  <c r="EL26" i="6"/>
  <c r="EL41" i="6"/>
  <c r="EL46" i="6"/>
  <c r="EL45" i="6"/>
  <c r="EL43" i="6"/>
  <c r="EL27" i="6"/>
  <c r="EL42" i="6"/>
  <c r="G20" i="2"/>
  <c r="EM85" i="6" l="1"/>
  <c r="AK71" i="6"/>
  <c r="AK86" i="6"/>
  <c r="EM51" i="6"/>
  <c r="J51" i="6"/>
  <c r="EM107" i="6"/>
  <c r="J107" i="6"/>
  <c r="EM108" i="6"/>
  <c r="EM109" i="6"/>
  <c r="EM106" i="6"/>
  <c r="EM110" i="6"/>
  <c r="EM104" i="6"/>
  <c r="EM103" i="6"/>
  <c r="EM111" i="6"/>
  <c r="EM105" i="6"/>
  <c r="J111" i="6"/>
  <c r="J110" i="6"/>
  <c r="J103" i="6"/>
  <c r="J104" i="6"/>
  <c r="J109" i="6"/>
  <c r="J106" i="6"/>
  <c r="J105" i="6"/>
  <c r="J108" i="6"/>
  <c r="J52" i="6"/>
  <c r="J48" i="6"/>
  <c r="EM48" i="6"/>
  <c r="J53" i="6"/>
  <c r="EM53" i="6"/>
  <c r="EM50" i="6"/>
  <c r="J54" i="6"/>
  <c r="EM49" i="6"/>
  <c r="J47" i="6"/>
  <c r="EM52" i="6"/>
  <c r="EM55" i="6"/>
  <c r="J50" i="6"/>
  <c r="J55" i="6"/>
  <c r="J49" i="6"/>
  <c r="EM47" i="6"/>
  <c r="EM54" i="6"/>
  <c r="H20" i="2"/>
  <c r="H21" i="2"/>
  <c r="I25" i="2"/>
  <c r="J31" i="6"/>
  <c r="EM26" i="6"/>
  <c r="DL31" i="6"/>
  <c r="S31" i="6"/>
  <c r="DC23" i="6"/>
  <c r="AK29" i="6"/>
  <c r="DC29" i="6"/>
  <c r="DC24" i="6"/>
  <c r="BS43" i="6"/>
  <c r="DU36" i="6"/>
  <c r="AK27" i="6"/>
  <c r="AB25" i="6"/>
  <c r="CK38" i="6"/>
  <c r="DU25" i="6"/>
  <c r="AB80" i="6"/>
  <c r="J68" i="6"/>
  <c r="ED85" i="6"/>
  <c r="DU65" i="6"/>
  <c r="BA77" i="6"/>
  <c r="BJ83" i="6"/>
  <c r="BJ66" i="6"/>
  <c r="DC80" i="6"/>
  <c r="AK84" i="6"/>
  <c r="CB85" i="6"/>
  <c r="DU82" i="6"/>
  <c r="BA84" i="6"/>
  <c r="S79" i="6"/>
  <c r="AB77" i="6"/>
  <c r="CK64" i="6"/>
  <c r="AK72" i="6"/>
  <c r="BA69" i="6"/>
  <c r="ED64" i="6"/>
  <c r="BS82" i="6"/>
  <c r="BJ85" i="6"/>
  <c r="DC64" i="6"/>
  <c r="ED68" i="6"/>
  <c r="EM66" i="6"/>
  <c r="AB65" i="6"/>
  <c r="BS83" i="6"/>
  <c r="DU76" i="6"/>
  <c r="ED79" i="6"/>
  <c r="AK38" i="6"/>
  <c r="J71" i="6"/>
  <c r="DL78" i="6"/>
  <c r="AK64" i="6"/>
  <c r="BS78" i="6"/>
  <c r="CB80" i="6"/>
  <c r="CB78" i="6"/>
  <c r="DC65" i="6"/>
  <c r="DU85" i="6"/>
  <c r="EM32" i="6"/>
  <c r="J63" i="6"/>
  <c r="CT39" i="6"/>
  <c r="CB26" i="6"/>
  <c r="EM43" i="6"/>
  <c r="EM29" i="6"/>
  <c r="J45" i="6"/>
  <c r="CT28" i="6"/>
  <c r="BJ37" i="6"/>
  <c r="CT23" i="6"/>
  <c r="BJ24" i="6"/>
  <c r="ED44" i="6"/>
  <c r="CB25" i="6"/>
  <c r="ED26" i="6"/>
  <c r="CB36" i="6"/>
  <c r="DL43" i="6"/>
  <c r="S37" i="6"/>
  <c r="S25" i="6"/>
  <c r="DU40" i="6"/>
  <c r="AK28" i="6"/>
  <c r="DU43" i="6"/>
  <c r="DU38" i="6"/>
  <c r="CK40" i="6"/>
  <c r="DU37" i="6"/>
  <c r="AB29" i="6"/>
  <c r="AB42" i="6"/>
  <c r="CK36" i="6"/>
  <c r="AK25" i="6"/>
  <c r="AR27" i="6"/>
  <c r="AB68" i="6"/>
  <c r="S65" i="6"/>
  <c r="AK82" i="6"/>
  <c r="BS66" i="6"/>
  <c r="CB83" i="6"/>
  <c r="CB64" i="6"/>
  <c r="DU63" i="6"/>
  <c r="BJ64" i="6"/>
  <c r="CT65" i="6"/>
  <c r="AK73" i="6"/>
  <c r="BA65" i="6"/>
  <c r="BJ68" i="6"/>
  <c r="BJ69" i="6"/>
  <c r="DC68" i="6"/>
  <c r="AK85" i="6"/>
  <c r="AR26" i="6"/>
  <c r="J99" i="6"/>
  <c r="AK44" i="6"/>
  <c r="CB65" i="6"/>
  <c r="DU70" i="6"/>
  <c r="BA76" i="6"/>
  <c r="AB67" i="6"/>
  <c r="BJ77" i="6"/>
  <c r="CK67" i="6"/>
  <c r="AK67" i="6"/>
  <c r="AB70" i="6"/>
  <c r="CB63" i="6"/>
  <c r="J83" i="6"/>
  <c r="ED76" i="6"/>
  <c r="EM64" i="6"/>
  <c r="CK78" i="6"/>
  <c r="AR24" i="6"/>
  <c r="CT76" i="6"/>
  <c r="DU71" i="6"/>
  <c r="J70" i="6"/>
  <c r="EM38" i="6"/>
  <c r="BJ42" i="6"/>
  <c r="J42" i="6"/>
  <c r="CB39" i="6"/>
  <c r="S44" i="6"/>
  <c r="AK63" i="6"/>
  <c r="J30" i="6"/>
  <c r="EM24" i="6"/>
  <c r="AK23" i="6"/>
  <c r="S76" i="6"/>
  <c r="EM31" i="6"/>
  <c r="J25" i="6"/>
  <c r="J46" i="6"/>
  <c r="J29" i="6"/>
  <c r="CT25" i="6"/>
  <c r="CB38" i="6"/>
  <c r="DL23" i="6"/>
  <c r="BJ26" i="6"/>
  <c r="BJ40" i="6"/>
  <c r="CT38" i="6"/>
  <c r="ED40" i="6"/>
  <c r="CB37" i="6"/>
  <c r="DL29" i="6"/>
  <c r="S40" i="6"/>
  <c r="S38" i="6"/>
  <c r="DU26" i="6"/>
  <c r="AB26" i="6"/>
  <c r="AK26" i="6"/>
  <c r="AB40" i="6"/>
  <c r="CK42" i="6"/>
  <c r="AK24" i="6"/>
  <c r="BA26" i="6"/>
  <c r="BA36" i="6"/>
  <c r="CK23" i="6"/>
  <c r="AK39" i="6"/>
  <c r="S68" i="6"/>
  <c r="BJ65" i="6"/>
  <c r="J91" i="6"/>
  <c r="EM80" i="6"/>
  <c r="CK66" i="6"/>
  <c r="AR31" i="6"/>
  <c r="CT77" i="6"/>
  <c r="DU67" i="6"/>
  <c r="AK37" i="6"/>
  <c r="DL85" i="6"/>
  <c r="AK81" i="6"/>
  <c r="BS65" i="6"/>
  <c r="AK40" i="6"/>
  <c r="CB81" i="6"/>
  <c r="DU78" i="6"/>
  <c r="J90" i="6"/>
  <c r="EM82" i="6"/>
  <c r="ED65" i="6"/>
  <c r="J64" i="6"/>
  <c r="CT67" i="6"/>
  <c r="AK65" i="6"/>
  <c r="BS63" i="6"/>
  <c r="BJ79" i="6"/>
  <c r="CB69" i="6"/>
  <c r="DC79" i="6"/>
  <c r="BA85" i="6"/>
  <c r="J100" i="6"/>
  <c r="J65" i="6"/>
  <c r="EM84" i="6"/>
  <c r="BA78" i="6"/>
  <c r="S80" i="6"/>
  <c r="DC82" i="6"/>
  <c r="J72" i="6"/>
  <c r="DL68" i="6"/>
  <c r="AK78" i="6"/>
  <c r="EM70" i="6"/>
  <c r="J36" i="6"/>
  <c r="CB23" i="6"/>
  <c r="EM46" i="6"/>
  <c r="ED23" i="6"/>
  <c r="DL40" i="6"/>
  <c r="EM36" i="6"/>
  <c r="J26" i="6"/>
  <c r="EM23" i="6"/>
  <c r="J23" i="6"/>
  <c r="J76" i="6"/>
  <c r="EM37" i="6"/>
  <c r="J33" i="6"/>
  <c r="J40" i="6"/>
  <c r="J44" i="6"/>
  <c r="DL38" i="6"/>
  <c r="CB44" i="6"/>
  <c r="DL36" i="6"/>
  <c r="CB42" i="6"/>
  <c r="BJ38" i="6"/>
  <c r="CT24" i="6"/>
  <c r="ED39" i="6"/>
  <c r="CT44" i="6"/>
  <c r="ED31" i="6"/>
  <c r="S36" i="6"/>
  <c r="S29" i="6"/>
  <c r="AB38" i="6"/>
  <c r="BA28" i="6"/>
  <c r="AB28" i="6"/>
  <c r="BA40" i="6"/>
  <c r="CK37" i="6"/>
  <c r="AK31" i="6"/>
  <c r="BS36" i="6"/>
  <c r="BA42" i="6"/>
  <c r="DC26" i="6"/>
  <c r="CK70" i="6"/>
  <c r="CT66" i="6"/>
  <c r="CT68" i="6"/>
  <c r="BA66" i="6"/>
  <c r="AB66" i="6"/>
  <c r="DC70" i="6"/>
  <c r="J84" i="6"/>
  <c r="DL67" i="6"/>
  <c r="AK77" i="6"/>
  <c r="J80" i="6"/>
  <c r="ED77" i="6"/>
  <c r="EM101" i="6"/>
  <c r="CK71" i="6"/>
  <c r="AR30" i="6"/>
  <c r="CT83" i="6"/>
  <c r="AK69" i="6"/>
  <c r="AB81" i="6"/>
  <c r="EM72" i="6"/>
  <c r="S77" i="6"/>
  <c r="J88" i="6"/>
  <c r="DL65" i="6"/>
  <c r="BS85" i="6"/>
  <c r="CK79" i="6"/>
  <c r="AK43" i="6"/>
  <c r="CT63" i="6"/>
  <c r="DU66" i="6"/>
  <c r="CT81" i="6"/>
  <c r="CT82" i="6"/>
  <c r="AB71" i="6"/>
  <c r="EM65" i="6"/>
  <c r="BS69" i="6"/>
  <c r="CB77" i="6"/>
  <c r="DU81" i="6"/>
  <c r="J101" i="6"/>
  <c r="ED66" i="6"/>
  <c r="BS70" i="6"/>
  <c r="EM41" i="6"/>
  <c r="EM30" i="6"/>
  <c r="BJ25" i="6"/>
  <c r="AR23" i="6"/>
  <c r="S63" i="6"/>
  <c r="EM45" i="6"/>
  <c r="EM40" i="6"/>
  <c r="J39" i="6"/>
  <c r="J41" i="6"/>
  <c r="ED29" i="6"/>
  <c r="DL25" i="6"/>
  <c r="CB43" i="6"/>
  <c r="DL37" i="6"/>
  <c r="CB31" i="6"/>
  <c r="BJ23" i="6"/>
  <c r="CT37" i="6"/>
  <c r="ED43" i="6"/>
  <c r="CT36" i="6"/>
  <c r="ED38" i="6"/>
  <c r="S26" i="6"/>
  <c r="S24" i="6"/>
  <c r="BS25" i="6"/>
  <c r="BS38" i="6"/>
  <c r="BA24" i="6"/>
  <c r="BA23" i="6"/>
  <c r="DC38" i="6"/>
  <c r="AB43" i="6"/>
  <c r="CK25" i="6"/>
  <c r="BA29" i="6"/>
  <c r="DC36" i="6"/>
  <c r="EM68" i="6"/>
  <c r="EM63" i="6"/>
  <c r="DL80" i="6"/>
  <c r="BS80" i="6"/>
  <c r="CB66" i="6"/>
  <c r="DU80" i="6"/>
  <c r="EM71" i="6"/>
  <c r="ED81" i="6"/>
  <c r="BS81" i="6"/>
  <c r="EM67" i="6"/>
  <c r="BA79" i="6"/>
  <c r="AB83" i="6"/>
  <c r="DC83" i="6"/>
  <c r="J92" i="6"/>
  <c r="DL77" i="6"/>
  <c r="DC85" i="6"/>
  <c r="EM91" i="6"/>
  <c r="AR28" i="6"/>
  <c r="AR29" i="6"/>
  <c r="EM100" i="6"/>
  <c r="ED63" i="6"/>
  <c r="S67" i="6"/>
  <c r="CK65" i="6"/>
  <c r="J67" i="6"/>
  <c r="DL82" i="6"/>
  <c r="AK68" i="6"/>
  <c r="AK42" i="6"/>
  <c r="J82" i="6"/>
  <c r="CT69" i="6"/>
  <c r="AB69" i="6"/>
  <c r="BS67" i="6"/>
  <c r="CT64" i="6"/>
  <c r="DU83" i="6"/>
  <c r="EM89" i="6"/>
  <c r="BA70" i="6"/>
  <c r="CK83" i="6"/>
  <c r="AB23" i="6"/>
  <c r="S23" i="6"/>
  <c r="J24" i="6"/>
  <c r="DL39" i="6"/>
  <c r="EM25" i="6"/>
  <c r="AB36" i="6"/>
  <c r="EM42" i="6"/>
  <c r="AK76" i="6"/>
  <c r="EM28" i="6"/>
  <c r="EM33" i="6"/>
  <c r="J37" i="6"/>
  <c r="J28" i="6"/>
  <c r="BJ36" i="6"/>
  <c r="ED28" i="6"/>
  <c r="CB29" i="6"/>
  <c r="ED36" i="6"/>
  <c r="CT42" i="6"/>
  <c r="BJ31" i="6"/>
  <c r="DL42" i="6"/>
  <c r="BJ28" i="6"/>
  <c r="CT31" i="6"/>
  <c r="ED37" i="6"/>
  <c r="S43" i="6"/>
  <c r="AB37" i="6"/>
  <c r="CK26" i="6"/>
  <c r="CK24" i="6"/>
  <c r="BA25" i="6"/>
  <c r="BA37" i="6"/>
  <c r="DC40" i="6"/>
  <c r="BA43" i="6"/>
  <c r="DC42" i="6"/>
  <c r="BS42" i="6"/>
  <c r="DC37" i="6"/>
  <c r="CB68" i="6"/>
  <c r="DL63" i="6"/>
  <c r="J89" i="6"/>
  <c r="CK80" i="6"/>
  <c r="CT85" i="6"/>
  <c r="AK70" i="6"/>
  <c r="EM99" i="6"/>
  <c r="BA83" i="6"/>
  <c r="DC81" i="6"/>
  <c r="S78" i="6"/>
  <c r="BS68" i="6"/>
  <c r="CT79" i="6"/>
  <c r="DU68" i="6"/>
  <c r="EM90" i="6"/>
  <c r="ED67" i="6"/>
  <c r="CK82" i="6"/>
  <c r="J69" i="6"/>
  <c r="BJ67" i="6"/>
  <c r="EM69" i="6"/>
  <c r="EM87" i="6"/>
  <c r="BA67" i="6"/>
  <c r="BJ82" i="6"/>
  <c r="DC67" i="6"/>
  <c r="J87" i="6"/>
  <c r="ED80" i="6"/>
  <c r="BS79" i="6"/>
  <c r="DL66" i="6"/>
  <c r="CB76" i="6"/>
  <c r="S83" i="6"/>
  <c r="BJ63" i="6"/>
  <c r="CK69" i="6"/>
  <c r="DL81" i="6"/>
  <c r="AK79" i="6"/>
  <c r="S64" i="6"/>
  <c r="BS84" i="6"/>
  <c r="DC77" i="6"/>
  <c r="AB76" i="6"/>
  <c r="AK36" i="6"/>
  <c r="CB24" i="6"/>
  <c r="EM27" i="6"/>
  <c r="AB63" i="6"/>
  <c r="EM39" i="6"/>
  <c r="EM44" i="6"/>
  <c r="J27" i="6"/>
  <c r="J43" i="6"/>
  <c r="BJ39" i="6"/>
  <c r="BJ44" i="6"/>
  <c r="CT40" i="6"/>
  <c r="ED42" i="6"/>
  <c r="CT43" i="6"/>
  <c r="CB28" i="6"/>
  <c r="DL44" i="6"/>
  <c r="BJ43" i="6"/>
  <c r="CT29" i="6"/>
  <c r="ED25" i="6"/>
  <c r="S42" i="6"/>
  <c r="BA38" i="6"/>
  <c r="DU24" i="6"/>
  <c r="CK43" i="6"/>
  <c r="BS23" i="6"/>
  <c r="BS40" i="6"/>
  <c r="DC43" i="6"/>
  <c r="BS24" i="6"/>
  <c r="DC25" i="6"/>
  <c r="BS26" i="6"/>
  <c r="DU42" i="6"/>
  <c r="BA80" i="6"/>
  <c r="DL64" i="6"/>
  <c r="J79" i="6"/>
  <c r="DC84" i="6"/>
  <c r="DL83" i="6"/>
  <c r="CK85" i="6"/>
  <c r="S82" i="6"/>
  <c r="BS76" i="6"/>
  <c r="DC71" i="6"/>
  <c r="AB78" i="6"/>
  <c r="CK68" i="6"/>
  <c r="DL79" i="6"/>
  <c r="AK83" i="6"/>
  <c r="EM81" i="6"/>
  <c r="BA71" i="6"/>
  <c r="DC78" i="6"/>
  <c r="EM79" i="6"/>
  <c r="J66" i="6"/>
  <c r="CB67" i="6"/>
  <c r="S85" i="6"/>
  <c r="BS71" i="6"/>
  <c r="CT78" i="6"/>
  <c r="DU77" i="6"/>
  <c r="EM76" i="6"/>
  <c r="BA82" i="6"/>
  <c r="CK81" i="6"/>
  <c r="DL69" i="6"/>
  <c r="BA68" i="6"/>
  <c r="BS77" i="6"/>
  <c r="CB82" i="6"/>
  <c r="DC69" i="6"/>
  <c r="ED83" i="6"/>
  <c r="EM83" i="6"/>
  <c r="AB64" i="6"/>
  <c r="CK84" i="6"/>
  <c r="DU64" i="6"/>
  <c r="J38" i="6"/>
  <c r="CT26" i="6"/>
  <c r="ED24" i="6"/>
  <c r="DL24" i="6"/>
  <c r="CB40" i="6"/>
  <c r="DL26" i="6"/>
  <c r="BJ29" i="6"/>
  <c r="DL28" i="6"/>
  <c r="S28" i="6"/>
  <c r="S39" i="6"/>
  <c r="BS29" i="6"/>
  <c r="DU23" i="6"/>
  <c r="DC28" i="6"/>
  <c r="CK29" i="6"/>
  <c r="BS28" i="6"/>
  <c r="DU29" i="6"/>
  <c r="CK28" i="6"/>
  <c r="AB24" i="6"/>
  <c r="BS37" i="6"/>
  <c r="DU28" i="6"/>
  <c r="CB79" i="6"/>
  <c r="J81" i="6"/>
  <c r="BJ76" i="6"/>
  <c r="DC63" i="6"/>
  <c r="ED69" i="6"/>
  <c r="S66" i="6"/>
  <c r="AB82" i="6"/>
  <c r="CK76" i="6"/>
  <c r="DU69" i="6"/>
  <c r="BJ81" i="6"/>
  <c r="DC76" i="6"/>
  <c r="ED82" i="6"/>
  <c r="EM92" i="6"/>
  <c r="S81" i="6"/>
  <c r="BS64" i="6"/>
  <c r="DU84" i="6"/>
  <c r="EM88" i="6"/>
  <c r="BJ78" i="6"/>
  <c r="BA81" i="6"/>
  <c r="AB79" i="6"/>
  <c r="CK77" i="6"/>
  <c r="DL76" i="6"/>
  <c r="AK80" i="6"/>
  <c r="S69" i="6"/>
  <c r="BA63" i="6"/>
  <c r="DC66" i="6"/>
  <c r="ED78" i="6"/>
  <c r="AB85" i="6"/>
  <c r="AK41" i="6"/>
  <c r="CT80" i="6"/>
  <c r="DU79" i="6"/>
  <c r="BA64" i="6"/>
  <c r="AB84" i="6"/>
  <c r="BJ80" i="6"/>
  <c r="CK63" i="6"/>
  <c r="AK6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tc={ADD18346-0BA1-45E9-946A-F6D8025630A8}</author>
  </authors>
  <commentList>
    <comment ref="K3" authorId="0" shapeId="0" xr:uid="{00000000-0006-0000-03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Utilizado para las formulas en el cálculo de IPs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tc={BBAE85F5-B32A-4DA5-9F25-F03BD4C19BBB}</author>
    <author>tc={B00AC055-0F33-4AE3-B052-3F5A5F599FF6}</author>
  </authors>
  <commentList>
    <comment ref="AJ72" authorId="0" shapeId="0" xr:uid="{BBAE85F5-B32A-4DA5-9F25-F03BD4C19BB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puerto no debe proporcionar IP, internamente el MCG enviará trafico en 10.0.53.156 (Wayside) y 10.0.53.166 (TSMART).</t>
      </text>
    </comment>
    <comment ref="AJ86" authorId="1" shapeId="0" xr:uid="{B00AC055-0F33-4AE3-B052-3F5A5F599FF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puerto no debe proporcionar IP, internamente el MCG enviará trafico en 10.0.53.156 (Wayside) y 10.0.53.166 (TSMART).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tc={0FB298B9-1646-472E-9B77-A1F0D327D93D}</author>
    <author>tc={C8C3104F-70B5-4E21-98EB-944F43198AFD}</author>
    <author>tc={3925FFC1-B805-4F44-9038-F29143B9086B}</author>
    <author>tc={EE0A0552-D59B-44B6-BD8C-A977EE48D0D6}</author>
    <author>tc={A4BC3DFE-073F-4BF4-892A-6A7D96CEB8A6}</author>
  </authors>
  <commentList>
    <comment ref="AR75" authorId="0" shapeId="0" xr:uid="{0FB298B9-1646-472E-9B77-A1F0D327D93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puerto no debe proporcionar IP, internamente el MCG enviará trafico en 10.0.53.156 (Wayside) y 10.0.53.166 (TSMART).</t>
      </text>
    </comment>
    <comment ref="F80" authorId="1" shapeId="0" xr:uid="{C8C3104F-70B5-4E21-98EB-944F43198AF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Está hecho asi para mantener compatibilidad con ips de DSB1</t>
      </text>
    </comment>
    <comment ref="F81" authorId="2" shapeId="0" xr:uid="{3925FFC1-B805-4F44-9038-F29143B9086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Está hecho asi para mantener compatibilidad con ips de DSB1</t>
      </text>
    </comment>
    <comment ref="F88" authorId="3" shapeId="0" xr:uid="{EE0A0552-D59B-44B6-BD8C-A977EE48D0D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Está hecho asi para mantener compatibilidad con ips de DSB1</t>
      </text>
    </comment>
    <comment ref="AR89" authorId="4" shapeId="0" xr:uid="{A4BC3DFE-073F-4BF4-892A-6A7D96CEB8A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puerto no debe proporcionar IP, internamente el MCG enviará trafico en 10.0.53.156 (Wayside) y 10.0.53.166 (TSMART).</t>
      </text>
    </comment>
  </commentList>
</comments>
</file>

<file path=xl/sharedStrings.xml><?xml version="1.0" encoding="utf-8"?>
<sst xmlns="http://schemas.openxmlformats.org/spreadsheetml/2006/main" count="2883" uniqueCount="521">
  <si>
    <t>ETH INTERFACE</t>
  </si>
  <si>
    <t>TCMS-EE</t>
  </si>
  <si>
    <t>F081 PROJECT</t>
  </si>
  <si>
    <t>Revision</t>
  </si>
  <si>
    <t>Date</t>
  </si>
  <si>
    <t>Author</t>
  </si>
  <si>
    <t>Comments</t>
  </si>
  <si>
    <t>0</t>
  </si>
  <si>
    <t>AVF</t>
  </si>
  <si>
    <t>Primera versión.</t>
  </si>
  <si>
    <t>01</t>
  </si>
  <si>
    <t>Cambiar IP del ESU 1 ya que no podía ser 10.0.0.1</t>
  </si>
  <si>
    <t>02</t>
  </si>
  <si>
    <t>Cambiar concepto VLAN acorde a ciberseguridad y eliminar bucle de inducción. Añadir SRS controller en los coches tipo 2 que por error no estaban. Añadir configuración 21 coches</t>
  </si>
  <si>
    <t>03</t>
  </si>
  <si>
    <t>Service port y matriz comunicación</t>
  </si>
  <si>
    <t>04</t>
  </si>
  <si>
    <t>Ips fijas coche PMR</t>
  </si>
  <si>
    <t>05</t>
  </si>
  <si>
    <t>Cambiar VLAN cámaras</t>
  </si>
  <si>
    <t>06</t>
  </si>
  <si>
    <t>Mistake on MCG port and change name displays in end coach</t>
  </si>
  <si>
    <t>COCHE 1</t>
  </si>
  <si>
    <t>COCHE 2</t>
  </si>
  <si>
    <t>COCHE 3</t>
  </si>
  <si>
    <t>COCHE 4</t>
  </si>
  <si>
    <t>COCHE 5</t>
  </si>
  <si>
    <t>COCHE 6</t>
  </si>
  <si>
    <t>COCHE 7</t>
  </si>
  <si>
    <t>COCHE 8</t>
  </si>
  <si>
    <t>COCHE 9</t>
  </si>
  <si>
    <t>COCHE 10</t>
  </si>
  <si>
    <t>COCHE 11</t>
  </si>
  <si>
    <t>COCHE 12</t>
  </si>
  <si>
    <t>COCHE 13</t>
  </si>
  <si>
    <t>COCHE 14</t>
  </si>
  <si>
    <t>COCHE 15</t>
  </si>
  <si>
    <t>COCHE 16</t>
  </si>
  <si>
    <t>COCHE 17</t>
  </si>
  <si>
    <t>COCHE 18</t>
  </si>
  <si>
    <t>COCHE 19</t>
  </si>
  <si>
    <t>COCHE 20</t>
  </si>
  <si>
    <t>COCHE 21</t>
  </si>
  <si>
    <t>TIPO 1</t>
  </si>
  <si>
    <t>X</t>
  </si>
  <si>
    <t>TIPO 2</t>
  </si>
  <si>
    <t>TIPO 3</t>
  </si>
  <si>
    <t>TIPO 4</t>
  </si>
  <si>
    <t>SOURCE DEVICE</t>
  </si>
  <si>
    <t>SOURCE VLAN ID</t>
  </si>
  <si>
    <t>DESTINATION ADDRESS</t>
  </si>
  <si>
    <t>DESTINATION VLAN ID</t>
  </si>
  <si>
    <t>PROTOCOL</t>
  </si>
  <si>
    <t>FUNCIONES</t>
  </si>
  <si>
    <t>NOTAS</t>
  </si>
  <si>
    <t>PREGUNTAS COMUNES</t>
  </si>
  <si>
    <t>CAMARAS</t>
  </si>
  <si>
    <t>DVR</t>
  </si>
  <si>
    <t>RTPS</t>
  </si>
  <si>
    <t>VIDEO A GRABAR</t>
  </si>
  <si>
    <t>¿Diagnosis directamente a la DBS?</t>
  </si>
  <si>
    <t>MCG</t>
  </si>
  <si>
    <t>VIDEO EN DIRECTO</t>
  </si>
  <si>
    <t>¿actualización SW directa o través de su equipo servidor?</t>
  </si>
  <si>
    <t>VSS HMI</t>
  </si>
  <si>
    <t>RTSP</t>
  </si>
  <si>
    <t>Por confirmar</t>
  </si>
  <si>
    <t>SERVICE PORT</t>
  </si>
  <si>
    <t>ACTUALIZACION SW</t>
  </si>
  <si>
    <t>Por confirmar, también diagnosis directamente a la DBS</t>
  </si>
  <si>
    <t>ENVIAR GRABACIONES</t>
  </si>
  <si>
    <t>ENVIAR GRABACIONES A NUBE, PARAMETROS</t>
  </si>
  <si>
    <t>VCU</t>
  </si>
  <si>
    <t>UDP</t>
  </si>
  <si>
    <t xml:space="preserve">EVENTOS,  MODO DE GRABACIÓN, </t>
  </si>
  <si>
    <t>DIAGNOSIS</t>
  </si>
  <si>
    <t>ACTUALIZACION SW, MANTENIMIENTO</t>
  </si>
  <si>
    <t>VER GRABACIONES</t>
  </si>
  <si>
    <t>VER CAMARAS EN DIRECTO</t>
  </si>
  <si>
    <t>DISPLAYS</t>
  </si>
  <si>
    <t>CONTENT SERVER</t>
  </si>
  <si>
    <t>ESTADO</t>
  </si>
  <si>
    <t>UDP, JSON ??</t>
  </si>
  <si>
    <t>INFORMACIÓN A MOSTRAR: MENSAJES, RUTA, SEAT RESERVATION, HORA, …</t>
  </si>
  <si>
    <t>SRS CONTROLLER</t>
  </si>
  <si>
    <t>ENVIAR SEAT RESERVATION INFORMATION MEDIANTE XML</t>
  </si>
  <si>
    <t>MENSAJES PREGRABADOS, TEXT TO SPEECH, TIMETABLE,SRS FILE, DISPLAYS CONFIGURATION</t>
  </si>
  <si>
    <t>DIAGNOSIS PROPIA, SRS CONTROLLER, SRS DISPLAYS Y DISPLAYS</t>
  </si>
  <si>
    <t>TRAIN NUMBER, RESETEAR VALORES, ALARMAS TEMPERATURA (HMI y pantallas), APAGADO CONTROLADO,</t>
  </si>
  <si>
    <t>ASC PAS SERVER</t>
  </si>
  <si>
    <t>UDP, HTTPS</t>
  </si>
  <si>
    <t>TRIGGER DE REPRODUCCIÓN Y STREAMING AUDIO</t>
  </si>
  <si>
    <t xml:space="preserve">DIAGNOSIS, ACK </t>
  </si>
  <si>
    <t>PCS IN</t>
  </si>
  <si>
    <t>PCS MASTER</t>
  </si>
  <si>
    <t>DATOS CONTEO, DIAGNOSIS</t>
  </si>
  <si>
    <t>PCS OUT</t>
  </si>
  <si>
    <t>DATOS DE CONTEO</t>
  </si>
  <si>
    <t>RESETEAR VALORES, ESTADO PUERTAS,…</t>
  </si>
  <si>
    <t>MANTENER EL TUNEL IP</t>
  </si>
  <si>
    <t xml:space="preserve">CONTROL DE ZONAS, DESCARGA DEPOSITO, PA SETTINGS, GPS, </t>
  </si>
  <si>
    <t>CDU</t>
  </si>
  <si>
    <t>CAMBIO DE CONTRASEÑA MANTENIMIENTO</t>
  </si>
  <si>
    <t>ACTUALIZACION SW, MANTENIMIENTO Y PUNTO CENTRAL DE DESCARGAS SW</t>
  </si>
  <si>
    <t>ENVIAR EVENTOS, ALARMAS Y DIAGNOSIS, PREGUNTAR VERSION HW, SW</t>
  </si>
  <si>
    <t>PREGUNTAR VERSION HW, SW</t>
  </si>
  <si>
    <t>METADATA, SPEED, DOORS, GPS, ...</t>
  </si>
  <si>
    <t>ACK FUNCIONALIDADES</t>
  </si>
  <si>
    <t>ALARMAS, MODO DE TREN, METADATA</t>
  </si>
  <si>
    <t xml:space="preserve">CONTROL DE VOLUMEN, NUMERO DE COCHES, </t>
  </si>
  <si>
    <t xml:space="preserve">VELOCIDAD TREN, PUERTAS, </t>
  </si>
  <si>
    <t>TCMS-OPERATION</t>
  </si>
  <si>
    <t>NAME VLAN</t>
  </si>
  <si>
    <t>VLAN ID</t>
  </si>
  <si>
    <t>BITS VLAN IP</t>
  </si>
  <si>
    <t>DECIMAL VLAN IP</t>
  </si>
  <si>
    <t>VIRTUAL ROUTING IP</t>
  </si>
  <si>
    <t>Mask:</t>
  </si>
  <si>
    <t>255.255.192.0</t>
  </si>
  <si>
    <t>11111111.11111111.11 000000.00000000</t>
  </si>
  <si>
    <t>VLANs
3 bits
&lt;XXX&gt;  </t>
  </si>
  <si>
    <t>NETWORK MANAGEMENT</t>
  </si>
  <si>
    <t>1</t>
  </si>
  <si>
    <t>000</t>
  </si>
  <si>
    <t>10.0.0.60</t>
  </si>
  <si>
    <t>Network:    </t>
  </si>
  <si>
    <t>10.0.0.0/18          </t>
  </si>
  <si>
    <r>
      <t>0</t>
    </r>
    <r>
      <rPr>
        <sz val="10"/>
        <color rgb="FF909090"/>
        <rFont val="Arial Unicode MS"/>
        <family val="2"/>
      </rPr>
      <t>0001010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00000000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00 000000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00000000</t>
    </r>
  </si>
  <si>
    <t>5S - 
TCMS: VCU</t>
  </si>
  <si>
    <t>11</t>
  </si>
  <si>
    <t>001</t>
  </si>
  <si>
    <t>10.0.63.254</t>
  </si>
  <si>
    <t>HostMin:</t>
  </si>
  <si>
    <t>10.0.0.1</t>
  </si>
  <si>
    <r>
      <t>00001010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00000000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00 000000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00000001</t>
    </r>
  </si>
  <si>
    <t>5S 2 - TCMS: DBS, doors, lighting, HVAC, DCU-fire</t>
  </si>
  <si>
    <t>12</t>
  </si>
  <si>
    <t>010</t>
  </si>
  <si>
    <t>10.0.95.254</t>
  </si>
  <si>
    <t>HostMax:</t>
  </si>
  <si>
    <r>
      <t>00001010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00000000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00 111111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11111110</t>
    </r>
  </si>
  <si>
    <t>5 - TCMS: CDU, WC, PA, ASC, UIC-GW, APS</t>
  </si>
  <si>
    <t>13</t>
  </si>
  <si>
    <t>011</t>
  </si>
  <si>
    <t>10.0.127.254</t>
  </si>
  <si>
    <t>Broadcast:</t>
  </si>
  <si>
    <t>10.0.63.255</t>
  </si>
  <si>
    <r>
      <t>00001010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00000000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00 111111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11111111</t>
    </r>
  </si>
  <si>
    <t>14 bits</t>
  </si>
  <si>
    <t>4 -GATEWAY (Network interconnection)</t>
  </si>
  <si>
    <t>14</t>
  </si>
  <si>
    <t>100</t>
  </si>
  <si>
    <t>10.0.159.254</t>
  </si>
  <si>
    <t>15</t>
  </si>
  <si>
    <t>101</t>
  </si>
  <si>
    <t>10.0.191.254</t>
  </si>
  <si>
    <t>Mask</t>
  </si>
  <si>
    <t>Bits</t>
  </si>
  <si>
    <t>2 - DMZ MCG</t>
  </si>
  <si>
    <t>16</t>
  </si>
  <si>
    <t>110</t>
  </si>
  <si>
    <t>10.0.223.254</t>
  </si>
  <si>
    <t>Max VLAN</t>
  </si>
  <si>
    <t>3 - CCTV HMI, PCS, INFOTAINMENT, SERVICE PORT</t>
  </si>
  <si>
    <t>17</t>
  </si>
  <si>
    <t>111</t>
  </si>
  <si>
    <t>10.0.255.254</t>
  </si>
  <si>
    <t>Max Coaches</t>
  </si>
  <si>
    <t>SPARE PORTS</t>
  </si>
  <si>
    <t>99</t>
  </si>
  <si>
    <t>Max devices per coach</t>
  </si>
  <si>
    <t>IP Address</t>
  </si>
  <si>
    <t>10.0.&lt;VLAN&gt;&lt;COACH_H&gt;.&lt;COACH_L&gt;&lt;DEVICE&gt;</t>
  </si>
  <si>
    <t>Coach</t>
  </si>
  <si>
    <t>Where</t>
  </si>
  <si>
    <t>MASK</t>
  </si>
  <si>
    <t>MASK BIT</t>
  </si>
  <si>
    <t>&lt;COACH_H&gt;</t>
  </si>
  <si>
    <t>3 most significant bits</t>
  </si>
  <si>
    <t>&lt;COACH_L&gt;</t>
  </si>
  <si>
    <t>2 less significan bits</t>
  </si>
  <si>
    <t>Example IP:</t>
  </si>
  <si>
    <t>VLAN</t>
  </si>
  <si>
    <t>Final IP Address:</t>
  </si>
  <si>
    <t>COACH</t>
  </si>
  <si>
    <t>Binary:</t>
  </si>
  <si>
    <t>Device</t>
  </si>
  <si>
    <t>Port</t>
  </si>
  <si>
    <t>Multicast IP</t>
  </si>
  <si>
    <t>Souce</t>
  </si>
  <si>
    <t>Destination</t>
  </si>
  <si>
    <t>PAS</t>
  </si>
  <si>
    <t>239.0.0.3</t>
  </si>
  <si>
    <t>Globales</t>
  </si>
  <si>
    <t>239.0.0.4</t>
  </si>
  <si>
    <t>239.0.0.6</t>
  </si>
  <si>
    <t>239.0.2.X</t>
  </si>
  <si>
    <t>X-&gt; Número de coche (1-21)</t>
  </si>
  <si>
    <t>239.0.3.X</t>
  </si>
  <si>
    <t>239.0.1.Y</t>
  </si>
  <si>
    <t>Y-&gt;Número (ID) de zona (de 1 a 5)</t>
  </si>
  <si>
    <t>PIS</t>
  </si>
  <si>
    <t>225.0.0.1：10011</t>
  </si>
  <si>
    <t xml:space="preserve">Route Station, time, test mode, brightness,speed, command, etc.
</t>
  </si>
  <si>
    <t>HMI</t>
  </si>
  <si>
    <t>Exterior Display/Interior Display/Seat Converter</t>
  </si>
  <si>
    <t>225.0.0.2：10012</t>
  </si>
  <si>
    <t>Update all the device.</t>
  </si>
  <si>
    <t>Update Tool</t>
  </si>
  <si>
    <t>225.0.0.3：10013</t>
  </si>
  <si>
    <t>All coaches video play.</t>
  </si>
  <si>
    <t>Interior Display</t>
  </si>
  <si>
    <t>225.0.0.4：10014</t>
  </si>
  <si>
    <t xml:space="preserve"> Standard coaches video play.</t>
  </si>
  <si>
    <t>225.0.0.5：10015</t>
  </si>
  <si>
    <t xml:space="preserve"> Silent coaches video play.</t>
  </si>
  <si>
    <t>225.0.0.6：10015</t>
  </si>
  <si>
    <t xml:space="preserve"> Business coaches video play.</t>
  </si>
  <si>
    <t>225.0.0.7：10015</t>
  </si>
  <si>
    <t xml:space="preserve"> First class coaches video play.</t>
  </si>
  <si>
    <t>224.0.0.1：8000</t>
  </si>
  <si>
    <t xml:space="preserve">RTP audio streaming multiple address. </t>
  </si>
  <si>
    <t>PA</t>
  </si>
  <si>
    <t>Virtual IPs</t>
  </si>
  <si>
    <t>10.0.0.50</t>
  </si>
  <si>
    <t>CCTV (DVR)</t>
  </si>
  <si>
    <t>10.0.0.40</t>
  </si>
  <si>
    <t>TCMS NETWORK</t>
  </si>
  <si>
    <t>Coach Number</t>
  </si>
  <si>
    <t>Coach Type 1. 2nd class end coach</t>
  </si>
  <si>
    <t>Coach Type 2a. 1st class master coach with WC</t>
  </si>
  <si>
    <t>Coach Type 3a. 1st class slave coach without WC</t>
  </si>
  <si>
    <t>Coach Type 4. 2nd class PRM coach</t>
  </si>
  <si>
    <t>Coach Type 3. 2nd class slave coach without WC</t>
  </si>
  <si>
    <t>Coach Type 2. 2nd class master coach with WC</t>
  </si>
  <si>
    <t>ID</t>
  </si>
  <si>
    <t>Port ID</t>
  </si>
  <si>
    <t>Direct IP</t>
  </si>
  <si>
    <t>CHECK</t>
  </si>
  <si>
    <t>ESU1</t>
  </si>
  <si>
    <t>ESU3</t>
  </si>
  <si>
    <t>e1-0</t>
  </si>
  <si>
    <t>ASC</t>
  </si>
  <si>
    <t>e1-1</t>
  </si>
  <si>
    <t>DCU_Doors_left</t>
  </si>
  <si>
    <t>e1-2</t>
  </si>
  <si>
    <t>HVAC</t>
  </si>
  <si>
    <t>PRM_WC_DOOR</t>
  </si>
  <si>
    <t>e1-3</t>
  </si>
  <si>
    <t>PA Fixed Intercom</t>
  </si>
  <si>
    <t>PA CFA Pass Int 1</t>
  </si>
  <si>
    <t>e1-4</t>
  </si>
  <si>
    <t>PA Passeng Int 1</t>
  </si>
  <si>
    <t>PA CFA Pass Int 2</t>
  </si>
  <si>
    <t>e1-5</t>
  </si>
  <si>
    <t>PA Amplifier1</t>
  </si>
  <si>
    <t>PA CFA Pass Int 3</t>
  </si>
  <si>
    <t>e1-6</t>
  </si>
  <si>
    <t>PA CFA Pass Int 4</t>
  </si>
  <si>
    <t>e1-7</t>
  </si>
  <si>
    <t>DBS</t>
  </si>
  <si>
    <t>WC_1</t>
  </si>
  <si>
    <t>UIC_GW_2</t>
  </si>
  <si>
    <t>e2-0</t>
  </si>
  <si>
    <t>Service Port</t>
  </si>
  <si>
    <t>ESU3(e0-1)</t>
  </si>
  <si>
    <t>e2-1</t>
  </si>
  <si>
    <t>APS 1</t>
  </si>
  <si>
    <t>e0-1</t>
  </si>
  <si>
    <t>ESU1(e2-0)</t>
  </si>
  <si>
    <t>e0-2</t>
  </si>
  <si>
    <t>ESU2</t>
  </si>
  <si>
    <t>e0-3</t>
  </si>
  <si>
    <t>ESU2(e2-0)</t>
  </si>
  <si>
    <t>DCU_Doors_right</t>
  </si>
  <si>
    <t>DCU_Doors_rigth</t>
  </si>
  <si>
    <t>e0-4</t>
  </si>
  <si>
    <t>DCU Fire</t>
  </si>
  <si>
    <t>FB_InteriorLigth</t>
  </si>
  <si>
    <t>OPERATOR NET (e0-0/SWITCH A)</t>
  </si>
  <si>
    <t>ASCr</t>
  </si>
  <si>
    <t>PA Passeng Int 2</t>
  </si>
  <si>
    <t>PA Amplifier2</t>
  </si>
  <si>
    <t>PA Passeng Int 3</t>
  </si>
  <si>
    <t>WC_2</t>
  </si>
  <si>
    <t>UIC_GW_1</t>
  </si>
  <si>
    <t>OPERATOR NET (e0-2/SWITCH A)</t>
  </si>
  <si>
    <t>ESU3(e0-3)</t>
  </si>
  <si>
    <t>APS 2</t>
  </si>
  <si>
    <t>Interface SVI VLAN 11</t>
  </si>
  <si>
    <t>Interface SVI VLAN 12</t>
  </si>
  <si>
    <t>Interface SVI VLAN 13</t>
  </si>
  <si>
    <t>Interface SVI VLAN 14</t>
  </si>
  <si>
    <t>VRRP VLAN 1</t>
  </si>
  <si>
    <t>10.0.0.59</t>
  </si>
  <si>
    <t>VRRP VLAN 11</t>
  </si>
  <si>
    <t>10.0.8.59</t>
  </si>
  <si>
    <t>VRRP VLAN 12</t>
  </si>
  <si>
    <t>10.0.16.59</t>
  </si>
  <si>
    <t>VRRP VLAN 13</t>
  </si>
  <si>
    <t>10.0.24.59</t>
  </si>
  <si>
    <t>VRRP VLAN 14</t>
  </si>
  <si>
    <t>10.0.32.59</t>
  </si>
  <si>
    <t>OPERATION NETWORK</t>
  </si>
  <si>
    <t>SWITCH B</t>
  </si>
  <si>
    <t>SWITCH A</t>
  </si>
  <si>
    <t>CAM 2</t>
  </si>
  <si>
    <t>CAM 1</t>
  </si>
  <si>
    <t>CAM 4</t>
  </si>
  <si>
    <t>CAM 3</t>
  </si>
  <si>
    <t>CAM 5</t>
  </si>
  <si>
    <t>DISPLAY IN W A</t>
  </si>
  <si>
    <t>DISPLAY IN C B</t>
  </si>
  <si>
    <t>DISPLAY IN C A</t>
  </si>
  <si>
    <t>DISPLAY IN W D</t>
  </si>
  <si>
    <t>DISPLAY OUT A</t>
  </si>
  <si>
    <t>DISPLAY OUT B</t>
  </si>
  <si>
    <t>DISPLAY IN C D</t>
  </si>
  <si>
    <t>SRS Controller</t>
  </si>
  <si>
    <t xml:space="preserve">CAM 2 </t>
  </si>
  <si>
    <t>PCS OUT A</t>
  </si>
  <si>
    <t>PCS OUT B</t>
  </si>
  <si>
    <t>CAM 6</t>
  </si>
  <si>
    <t>DISPLAY IN W B</t>
  </si>
  <si>
    <t>DISPLAY IN C C</t>
  </si>
  <si>
    <t>e1-8</t>
  </si>
  <si>
    <t>e1-9</t>
  </si>
  <si>
    <t>e1-10</t>
  </si>
  <si>
    <t>e1-11</t>
  </si>
  <si>
    <t>e1-12</t>
  </si>
  <si>
    <t>e1-13</t>
  </si>
  <si>
    <t>e1-14</t>
  </si>
  <si>
    <t>DISPLAY IN W C</t>
  </si>
  <si>
    <t>e1-15</t>
  </si>
  <si>
    <t>e2-2</t>
  </si>
  <si>
    <t>e2-3</t>
  </si>
  <si>
    <t>e2-4</t>
  </si>
  <si>
    <t>e2-5</t>
  </si>
  <si>
    <t>e0-0</t>
  </si>
  <si>
    <t>TCMS NETWORK (e 1-4 / ESU 2)</t>
  </si>
  <si>
    <t>TCMS NETWORK (e2-0 / ESU 2)</t>
  </si>
  <si>
    <t>e0-5</t>
  </si>
  <si>
    <t>Interface SVI VLAN 15</t>
  </si>
  <si>
    <t>Interface SVI VLAN 16</t>
  </si>
  <si>
    <t>Interface SVI VLAN 17</t>
  </si>
  <si>
    <t>10.0.32.60</t>
  </si>
  <si>
    <t>VRRP VLAN 15</t>
  </si>
  <si>
    <t>10.0.40.60</t>
  </si>
  <si>
    <t>VRRP VLAN 16</t>
  </si>
  <si>
    <t>10.0.48.60</t>
  </si>
  <si>
    <t>VRRP VLAN 17</t>
  </si>
  <si>
    <t>10.0.56.60</t>
  </si>
  <si>
    <t>DBS TCMS</t>
  </si>
  <si>
    <t>DBS
TCMS</t>
  </si>
  <si>
    <t>DOORS</t>
  </si>
  <si>
    <t>OK</t>
  </si>
  <si>
    <t>10.0.55.254</t>
  </si>
  <si>
    <t>10.0.47.254</t>
  </si>
  <si>
    <t>10.0.39.254</t>
  </si>
  <si>
    <t>LIGHTING</t>
  </si>
  <si>
    <t>DCU-Fire</t>
  </si>
  <si>
    <t>VCU y DBS</t>
  </si>
  <si>
    <t>WC</t>
  </si>
  <si>
    <t>APS</t>
  </si>
  <si>
    <t>Dual homed added on VCU ports (Same IP)</t>
  </si>
  <si>
    <t>07</t>
  </si>
  <si>
    <t>uni</t>
  </si>
  <si>
    <t>239.255.128.12</t>
  </si>
  <si>
    <t>239.255.128.13</t>
  </si>
  <si>
    <t>?</t>
  </si>
  <si>
    <t>10.0.16.7</t>
  </si>
  <si>
    <t>10.0.16.6</t>
  </si>
  <si>
    <t>225.0.0.1/2/3/4/5/6/7</t>
  </si>
  <si>
    <t>10.0.53.156/
10.0.53.157</t>
  </si>
  <si>
    <t>239.255.128.34</t>
  </si>
  <si>
    <t>239.255.128.35</t>
  </si>
  <si>
    <t>224.0.0.1:8000</t>
  </si>
  <si>
    <t>239.255.128.32</t>
  </si>
  <si>
    <t>Añadida ip de comunicaciones a matrix device comunication</t>
  </si>
  <si>
    <t>reseravdas ips para DBS</t>
  </si>
  <si>
    <t>CCTV</t>
  </si>
  <si>
    <t>Añadidas ips multicast a la tabla</t>
  </si>
  <si>
    <r>
      <t xml:space="preserve">Todos los coches PA Streaming. </t>
    </r>
    <r>
      <rPr>
        <sz val="10"/>
        <color rgb="FF000000"/>
        <rFont val="Century Gothic"/>
        <family val="2"/>
      </rPr>
      <t xml:space="preserve"> </t>
    </r>
  </si>
  <si>
    <r>
      <t>239.255.26.2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9001</t>
    </r>
  </si>
  <si>
    <r>
      <t xml:space="preserve">Zona 1 PA Streaming. </t>
    </r>
    <r>
      <rPr>
        <sz val="10"/>
        <color rgb="FF000000"/>
        <rFont val="Century Gothic"/>
        <family val="2"/>
      </rPr>
      <t xml:space="preserve"> </t>
    </r>
  </si>
  <si>
    <r>
      <t>239.255.26.3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9002</t>
    </r>
  </si>
  <si>
    <r>
      <t xml:space="preserve">Zona 2 PA Streaming. </t>
    </r>
    <r>
      <rPr>
        <sz val="10"/>
        <color rgb="FF000000"/>
        <rFont val="Century Gothic"/>
        <family val="2"/>
      </rPr>
      <t xml:space="preserve"> </t>
    </r>
  </si>
  <si>
    <r>
      <t>239.255.26.4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9003</t>
    </r>
  </si>
  <si>
    <r>
      <t xml:space="preserve">Zona 3 PA Streaming. </t>
    </r>
    <r>
      <rPr>
        <sz val="10"/>
        <color rgb="FF000000"/>
        <rFont val="Century Gothic"/>
        <family val="2"/>
      </rPr>
      <t xml:space="preserve"> </t>
    </r>
  </si>
  <si>
    <r>
      <t>239.255.26.5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9004</t>
    </r>
  </si>
  <si>
    <r>
      <t xml:space="preserve">Zona 4 PA Streaming. </t>
    </r>
    <r>
      <rPr>
        <sz val="10"/>
        <color rgb="FF000000"/>
        <rFont val="Century Gothic"/>
        <family val="2"/>
      </rPr>
      <t xml:space="preserve"> </t>
    </r>
  </si>
  <si>
    <r>
      <t>239.255.26.6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9005</t>
    </r>
  </si>
  <si>
    <r>
      <t xml:space="preserve">Zona 5 PA Streaming. </t>
    </r>
    <r>
      <rPr>
        <sz val="10"/>
        <color rgb="FF000000"/>
        <rFont val="Century Gothic"/>
        <family val="2"/>
      </rPr>
      <t xml:space="preserve"> </t>
    </r>
  </si>
  <si>
    <r>
      <t>239.255.26.7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9006</t>
    </r>
  </si>
  <si>
    <t>Coche 1 PA Streaming.</t>
  </si>
  <si>
    <r>
      <t>239.255.26.8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9007</t>
    </r>
  </si>
  <si>
    <t>Coche 2 PA Streaming.</t>
  </si>
  <si>
    <r>
      <t>239.255.26.9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9008</t>
    </r>
  </si>
  <si>
    <t>Coche 3 PA Streaming.</t>
  </si>
  <si>
    <r>
      <t>239.255.26.10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9009</t>
    </r>
  </si>
  <si>
    <t>Coche 4 PA Streaming.</t>
  </si>
  <si>
    <r>
      <t>239.255.26.11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9010</t>
    </r>
  </si>
  <si>
    <t>Coche 5 PA Streaming.</t>
  </si>
  <si>
    <r>
      <t>239.255.26.12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9011</t>
    </r>
  </si>
  <si>
    <t>Coche 6 PA Streaming.</t>
  </si>
  <si>
    <r>
      <t>239.255.26.13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9012</t>
    </r>
  </si>
  <si>
    <t>Coche 7 PA Streaming.</t>
  </si>
  <si>
    <r>
      <t>239.255.26.14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9013</t>
    </r>
  </si>
  <si>
    <t>Coche 8 PA Streaming.</t>
  </si>
  <si>
    <r>
      <t>239.255.26.15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9014</t>
    </r>
  </si>
  <si>
    <t>Coche 9 PA Streaming.</t>
  </si>
  <si>
    <r>
      <t>239.255.26.16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9015</t>
    </r>
  </si>
  <si>
    <t>Coche 10 PA Streaming.</t>
  </si>
  <si>
    <r>
      <t>239.255.26.17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9016</t>
    </r>
  </si>
  <si>
    <t>Coche 11 PA Streaming.</t>
  </si>
  <si>
    <r>
      <t>239.255.26.18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9017</t>
    </r>
  </si>
  <si>
    <t>Coche 12 PA Streaming.</t>
  </si>
  <si>
    <r>
      <t>239.255.26.19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9018</t>
    </r>
  </si>
  <si>
    <t>Coche 13 PA Streaming.</t>
  </si>
  <si>
    <r>
      <t>239.255.26.20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9019</t>
    </r>
  </si>
  <si>
    <t>Coche 14 PA Streaming.</t>
  </si>
  <si>
    <r>
      <t>239.255.26.21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9020</t>
    </r>
  </si>
  <si>
    <t>Coche 15 PA Streaming.</t>
  </si>
  <si>
    <r>
      <t>239.255.26.22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9021</t>
    </r>
  </si>
  <si>
    <t>Coche 16 PA Streaming.</t>
  </si>
  <si>
    <r>
      <t>239.255.26.23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9022</t>
    </r>
  </si>
  <si>
    <t>Coche 17 PA Streaming.</t>
  </si>
  <si>
    <r>
      <t>239.255.26.24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9023</t>
    </r>
  </si>
  <si>
    <t>Coche 18 PA Streaming.</t>
  </si>
  <si>
    <r>
      <t>239.255.26.25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9024</t>
    </r>
  </si>
  <si>
    <t>Coche 19 PA Streaming.</t>
  </si>
  <si>
    <r>
      <t>239.255.26.26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9025</t>
    </r>
  </si>
  <si>
    <t>Coche 20 PA Streaming.</t>
  </si>
  <si>
    <r>
      <t>239.255.26.27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9026</t>
    </r>
  </si>
  <si>
    <t>Coche 21 PA Streaming.</t>
  </si>
  <si>
    <t>TCMS</t>
  </si>
  <si>
    <t xml:space="preserve">239.255.128.32 : 2001 </t>
  </si>
  <si>
    <t xml:space="preserve">Información sobre la configuración y el estado del tren / dispositivo </t>
  </si>
  <si>
    <t xml:space="preserve">239.255.128.12 : 2002 </t>
  </si>
  <si>
    <t>P Información sobre el estado del dispositivos del PAS</t>
  </si>
  <si>
    <r>
      <t>239.255.128.32</t>
    </r>
    <r>
      <rPr>
        <sz val="10"/>
        <color rgb="FF000000"/>
        <rFont val="Century Gothic"/>
        <family val="2"/>
      </rPr>
      <t xml:space="preserve"> </t>
    </r>
    <r>
      <rPr>
        <sz val="10"/>
        <color rgb="FF000000"/>
        <rFont val="Arial"/>
        <family val="2"/>
      </rPr>
      <t xml:space="preserve"> : 2101, 2103</t>
    </r>
  </si>
  <si>
    <t>Solicitudes de información</t>
  </si>
  <si>
    <r>
      <t>239.255.128.13</t>
    </r>
    <r>
      <rPr>
        <sz val="10"/>
        <color rgb="FF000000"/>
        <rFont val="Century Gothic"/>
        <family val="2"/>
      </rPr>
      <t xml:space="preserve"> </t>
    </r>
    <r>
      <rPr>
        <sz val="10"/>
        <color rgb="FF000000"/>
        <rFont val="Arial"/>
        <family val="2"/>
      </rPr>
      <t xml:space="preserve"> : 2102, 2104</t>
    </r>
  </si>
  <si>
    <t>Información sobre la versión y el número de serie</t>
  </si>
  <si>
    <t>WAY</t>
  </si>
  <si>
    <t xml:space="preserve">239.255.128.32 : 2105 </t>
  </si>
  <si>
    <t xml:space="preserve">Zona Volumen y denominación </t>
  </si>
  <si>
    <t xml:space="preserve">239.255.128.12 : 2106 </t>
  </si>
  <si>
    <t xml:space="preserve">Estado  de  la  aplicación  de </t>
  </si>
  <si>
    <t>configuración</t>
  </si>
  <si>
    <t>239.255.26.1:9000</t>
  </si>
  <si>
    <t>4 - DMZ communication: CONTENT SERVER, SERVER PCS, DVR, CAMERAS</t>
  </si>
  <si>
    <t>VCU1_PH</t>
  </si>
  <si>
    <t>VCU2_PH</t>
  </si>
  <si>
    <t>DDU Cab</t>
  </si>
  <si>
    <t>RIOM_C_A</t>
  </si>
  <si>
    <t>HVAC Coaches</t>
  </si>
  <si>
    <t>VCU_CH</t>
  </si>
  <si>
    <t>PA Fixed Intercom 1 (PA_FI-1)</t>
  </si>
  <si>
    <t>PA Intercom Next To Alarm Handler 1 (PES-NAH-1)</t>
  </si>
  <si>
    <t>RIOM_PUP</t>
  </si>
  <si>
    <t>PA Amplifier1 (PAU-1)</t>
  </si>
  <si>
    <t>Service Port Cab1</t>
  </si>
  <si>
    <t>ESU2 (e0-2)</t>
  </si>
  <si>
    <t>ESU4 (e0-2)</t>
  </si>
  <si>
    <t>ESU2 (e0-3)</t>
  </si>
  <si>
    <t>ESU4 (e0-3)</t>
  </si>
  <si>
    <t>VCU1_PHr</t>
  </si>
  <si>
    <t>VCU2_PHr</t>
  </si>
  <si>
    <t>DDU Cabr</t>
  </si>
  <si>
    <t>RIOM_C_Ar</t>
  </si>
  <si>
    <t>VCU_CHr</t>
  </si>
  <si>
    <t>HVAC Cabin</t>
  </si>
  <si>
    <t>RIOM_PUPr</t>
  </si>
  <si>
    <t>PA Intercom Next To Alarm Handler 2 (PES-NAH-2)</t>
  </si>
  <si>
    <t>Rear Camera Left</t>
  </si>
  <si>
    <t>PA Amplifier2 (PAU-2)</t>
  </si>
  <si>
    <t>Rear Camera Right</t>
  </si>
  <si>
    <t>ESU2 (e0-1) (Previous Coach)</t>
  </si>
  <si>
    <t>ESU1 (e0-2)</t>
  </si>
  <si>
    <t>ESU3 (e0-2)</t>
  </si>
  <si>
    <t>ESU1 (e0-3)</t>
  </si>
  <si>
    <t>ESU3 (e0-3)</t>
  </si>
  <si>
    <t>Radio</t>
  </si>
  <si>
    <t>Radio Service Port</t>
  </si>
  <si>
    <t>10.0.125.155</t>
  </si>
  <si>
    <t>10.0.0.134</t>
  </si>
  <si>
    <t>10.0.120.90</t>
  </si>
  <si>
    <t>10.0.123.218</t>
  </si>
  <si>
    <t>Service port</t>
  </si>
  <si>
    <t>ESU1 (e0-0) (Previous Coach)</t>
  </si>
  <si>
    <t>ESU2 (e0-0) (Previous Coach)</t>
  </si>
  <si>
    <t xml:space="preserve">ESU2 (e0-0) </t>
  </si>
  <si>
    <t xml:space="preserve">ESU1 (e0-0) </t>
  </si>
  <si>
    <t>FLEX IN W A</t>
  </si>
  <si>
    <t>FLEX IN W B</t>
  </si>
  <si>
    <t>PA CFA Pass Int WC</t>
  </si>
  <si>
    <t>PAS Intercom numbering corrected</t>
  </si>
  <si>
    <t>08</t>
  </si>
  <si>
    <t>09</t>
  </si>
  <si>
    <t>PA Passeng Int 1 (Vestíbulo)</t>
  </si>
  <si>
    <t>PA Passeng Int 3 Low Passenger area</t>
  </si>
  <si>
    <t>PA Passeng Int 2 High passenger area</t>
  </si>
  <si>
    <t>Tipo 5</t>
  </si>
  <si>
    <t>10</t>
  </si>
  <si>
    <t xml:space="preserve">Update trainset options </t>
  </si>
  <si>
    <t xml:space="preserve"> </t>
  </si>
  <si>
    <t xml:space="preserve">ESU3 (e0-1) </t>
  </si>
  <si>
    <t>ESU4 (e0-1)</t>
  </si>
  <si>
    <t>Updated conection between cocaches</t>
  </si>
  <si>
    <t xml:space="preserve">Updated IP addresses for Cabcar </t>
  </si>
  <si>
    <t xml:space="preserve">Updated duplicated  IP addresses  on VCUPH and PHr for Cabcar </t>
  </si>
  <si>
    <t>13_3</t>
  </si>
  <si>
    <t>Changed DCU Fire  and FBInteriorLight of Cabcar from VLAN3  to VLAN2</t>
  </si>
  <si>
    <t>ESU4 
(PoE)</t>
  </si>
  <si>
    <t>Coach Type 2a C4701. 1st class master coach with WC</t>
  </si>
  <si>
    <t>Coach Type 4 C4714. 2nd class PRM coach</t>
  </si>
  <si>
    <t>Coach Type 3 C4702S. 2nd class slave coach without WC</t>
  </si>
  <si>
    <t>Coach Type 2 C4702P. 2nd class master coach with WC</t>
  </si>
  <si>
    <t>Coach Type 1 C4728. 2nd class end coach</t>
  </si>
  <si>
    <t>896.1 - C4740 - Coach Type 5. First Class end coach Cab Car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</si>
</sst>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Times New Roman"/>
      <family val="1"/>
    </font>
    <font>
      <sz val="10"/>
      <color rgb="FF000000"/>
      <name val="Arial Unicode MS"/>
      <family val="2"/>
    </font>
    <font>
      <sz val="10"/>
      <color rgb="FF0000FF"/>
      <name val="Arial Unicode MS"/>
      <family val="2"/>
    </font>
    <font>
      <sz val="10"/>
      <color rgb="FF909090"/>
      <name val="Arial Unicode MS"/>
      <family val="2"/>
    </font>
    <font>
      <b/>
      <sz val="11"/>
      <color theme="3" tint="0.39997558519241921"/>
      <name val="Calibri"/>
      <family val="2"/>
      <scheme val="minor"/>
    </font>
    <font>
      <sz val="11"/>
      <color rgb="FFFF0000"/>
      <name val="Times New Roman"/>
      <family val="1"/>
    </font>
    <font>
      <b/>
      <u/>
      <sz val="16"/>
      <color indexed="8"/>
      <name val="Calibri"/>
      <family val="2"/>
    </font>
    <font>
      <b/>
      <sz val="11"/>
      <color indexed="8"/>
      <name val="Calibri"/>
      <family val="2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Arial"/>
      <family val="2"/>
    </font>
    <font>
      <strike/>
      <sz val="11"/>
      <color theme="1"/>
      <name val="Calibri"/>
      <family val="2"/>
      <scheme val="minor"/>
    </font>
    <font>
      <sz val="10"/>
      <color rgb="FF000000"/>
      <name val="Century Gothic"/>
      <family val="2"/>
    </font>
    <font>
      <sz val="10"/>
      <color rgb="FF000000"/>
      <name val="Arial"/>
      <family val="2"/>
    </font>
    <font>
      <sz val="10"/>
      <color rgb="FF000000"/>
      <name val="Cambria"/>
      <family val="1"/>
    </font>
    <font>
      <sz val="10"/>
      <color rgb="FF000000"/>
      <name val="Courier New"/>
      <family val="3"/>
    </font>
    <font>
      <sz val="11"/>
      <color theme="6" tint="-0.499984740745262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mediumGray"/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EDECE0"/>
        <bgColor indexed="64"/>
      </patternFill>
    </fill>
    <fill>
      <patternFill patternType="solid">
        <fgColor rgb="FFDAE5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7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2" fillId="0" borderId="0"/>
  </cellStyleXfs>
  <cellXfs count="345">
    <xf numFmtId="0" fontId="0" fillId="0" borderId="0" xfId="0"/>
    <xf numFmtId="0" fontId="0" fillId="0" borderId="4" xfId="0" applyBorder="1"/>
    <xf numFmtId="0" fontId="0" fillId="3" borderId="4" xfId="0" applyFill="1" applyBorder="1"/>
    <xf numFmtId="0" fontId="0" fillId="0" borderId="13" xfId="0" applyBorder="1"/>
    <xf numFmtId="0" fontId="0" fillId="0" borderId="14" xfId="0" applyBorder="1"/>
    <xf numFmtId="0" fontId="0" fillId="3" borderId="14" xfId="0" applyFill="1" applyBorder="1"/>
    <xf numFmtId="0" fontId="0" fillId="3" borderId="7" xfId="0" applyFill="1" applyBorder="1"/>
    <xf numFmtId="0" fontId="0" fillId="3" borderId="15" xfId="0" applyFill="1" applyBorder="1"/>
    <xf numFmtId="0" fontId="0" fillId="3" borderId="8" xfId="0" applyFill="1" applyBorder="1"/>
    <xf numFmtId="0" fontId="0" fillId="3" borderId="27" xfId="0" applyFill="1" applyBorder="1"/>
    <xf numFmtId="0" fontId="0" fillId="0" borderId="24" xfId="0" applyBorder="1"/>
    <xf numFmtId="0" fontId="0" fillId="0" borderId="30" xfId="0" applyBorder="1"/>
    <xf numFmtId="0" fontId="0" fillId="0" borderId="1" xfId="0" applyBorder="1"/>
    <xf numFmtId="0" fontId="0" fillId="0" borderId="6" xfId="0" applyBorder="1"/>
    <xf numFmtId="0" fontId="0" fillId="0" borderId="12" xfId="0" applyBorder="1"/>
    <xf numFmtId="0" fontId="0" fillId="0" borderId="3" xfId="0" applyBorder="1"/>
    <xf numFmtId="0" fontId="0" fillId="0" borderId="2" xfId="0" applyBorder="1"/>
    <xf numFmtId="0" fontId="0" fillId="0" borderId="7" xfId="0" applyBorder="1"/>
    <xf numFmtId="0" fontId="0" fillId="0" borderId="15" xfId="0" applyBorder="1"/>
    <xf numFmtId="0" fontId="0" fillId="0" borderId="31" xfId="0" applyBorder="1"/>
    <xf numFmtId="0" fontId="11" fillId="0" borderId="31" xfId="0" applyFont="1" applyBorder="1" applyAlignment="1">
      <alignment horizontal="center"/>
    </xf>
    <xf numFmtId="0" fontId="0" fillId="5" borderId="31" xfId="0" applyFill="1" applyBorder="1"/>
    <xf numFmtId="0" fontId="0" fillId="5" borderId="19" xfId="0" applyFill="1" applyBorder="1"/>
    <xf numFmtId="0" fontId="0" fillId="5" borderId="10" xfId="0" applyFill="1" applyBorder="1"/>
    <xf numFmtId="0" fontId="1" fillId="5" borderId="31" xfId="0" applyFont="1" applyFill="1" applyBorder="1"/>
    <xf numFmtId="0" fontId="0" fillId="8" borderId="31" xfId="0" applyFill="1" applyBorder="1"/>
    <xf numFmtId="0" fontId="9" fillId="0" borderId="4" xfId="0" applyFont="1" applyBorder="1" applyAlignment="1">
      <alignment vertical="center" wrapText="1"/>
    </xf>
    <xf numFmtId="49" fontId="10" fillId="0" borderId="12" xfId="0" applyNumberFormat="1" applyFont="1" applyBorder="1" applyAlignment="1">
      <alignment wrapText="1"/>
    </xf>
    <xf numFmtId="0" fontId="8" fillId="0" borderId="3" xfId="0" applyFont="1" applyBorder="1" applyAlignment="1">
      <alignment vertical="center" wrapText="1"/>
    </xf>
    <xf numFmtId="0" fontId="10" fillId="0" borderId="14" xfId="0" applyFont="1" applyBorder="1" applyAlignment="1">
      <alignment vertical="center" wrapText="1"/>
    </xf>
    <xf numFmtId="0" fontId="8" fillId="0" borderId="2" xfId="0" applyFont="1" applyBorder="1" applyAlignment="1">
      <alignment vertical="center" wrapText="1"/>
    </xf>
    <xf numFmtId="0" fontId="9" fillId="0" borderId="7" xfId="0" applyFont="1" applyBorder="1" applyAlignment="1">
      <alignment vertical="center" wrapText="1"/>
    </xf>
    <xf numFmtId="0" fontId="10" fillId="0" borderId="15" xfId="0" applyFont="1" applyBorder="1" applyAlignment="1">
      <alignment vertical="center" wrapText="1"/>
    </xf>
    <xf numFmtId="0" fontId="8" fillId="0" borderId="1" xfId="0" applyFont="1" applyBorder="1" applyAlignment="1">
      <alignment vertical="center" wrapText="1"/>
    </xf>
    <xf numFmtId="0" fontId="1" fillId="7" borderId="31" xfId="0" applyFont="1" applyFill="1" applyBorder="1"/>
    <xf numFmtId="0" fontId="0" fillId="7" borderId="32" xfId="0" applyFill="1" applyBorder="1"/>
    <xf numFmtId="0" fontId="0" fillId="7" borderId="6" xfId="0" applyFill="1" applyBorder="1"/>
    <xf numFmtId="0" fontId="0" fillId="7" borderId="12" xfId="0" applyFill="1" applyBorder="1"/>
    <xf numFmtId="0" fontId="0" fillId="7" borderId="1" xfId="0" applyFill="1" applyBorder="1"/>
    <xf numFmtId="0" fontId="0" fillId="7" borderId="13" xfId="0" applyFill="1" applyBorder="1"/>
    <xf numFmtId="0" fontId="1" fillId="7" borderId="9" xfId="0" applyFont="1" applyFill="1" applyBorder="1"/>
    <xf numFmtId="0" fontId="1" fillId="7" borderId="5" xfId="0" applyFont="1" applyFill="1" applyBorder="1"/>
    <xf numFmtId="0" fontId="0" fillId="7" borderId="4" xfId="0" applyFill="1" applyBorder="1"/>
    <xf numFmtId="0" fontId="0" fillId="7" borderId="14" xfId="0" applyFill="1" applyBorder="1"/>
    <xf numFmtId="0" fontId="1" fillId="7" borderId="3" xfId="0" applyFont="1" applyFill="1" applyBorder="1"/>
    <xf numFmtId="0" fontId="0" fillId="7" borderId="8" xfId="0" applyFill="1" applyBorder="1"/>
    <xf numFmtId="0" fontId="1" fillId="7" borderId="2" xfId="0" applyFont="1" applyFill="1" applyBorder="1"/>
    <xf numFmtId="0" fontId="0" fillId="7" borderId="15" xfId="0" applyFill="1" applyBorder="1"/>
    <xf numFmtId="0" fontId="0" fillId="7" borderId="27" xfId="0" applyFill="1" applyBorder="1"/>
    <xf numFmtId="0" fontId="0" fillId="7" borderId="7" xfId="0" applyFill="1" applyBorder="1"/>
    <xf numFmtId="0" fontId="3" fillId="3" borderId="7" xfId="0" applyFont="1" applyFill="1" applyBorder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/>
    <xf numFmtId="0" fontId="0" fillId="0" borderId="0" xfId="0" applyAlignment="1">
      <alignment wrapText="1"/>
    </xf>
    <xf numFmtId="0" fontId="0" fillId="0" borderId="23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25" xfId="0" applyBorder="1"/>
    <xf numFmtId="0" fontId="4" fillId="0" borderId="31" xfId="0" applyFont="1" applyBorder="1" applyAlignment="1">
      <alignment horizontal="center" vertical="center" wrapText="1"/>
    </xf>
    <xf numFmtId="0" fontId="0" fillId="0" borderId="9" xfId="0" applyBorder="1"/>
    <xf numFmtId="0" fontId="5" fillId="0" borderId="5" xfId="0" applyFont="1" applyBorder="1"/>
    <xf numFmtId="0" fontId="0" fillId="0" borderId="8" xfId="0" applyBorder="1"/>
    <xf numFmtId="0" fontId="5" fillId="0" borderId="4" xfId="0" applyFont="1" applyBorder="1"/>
    <xf numFmtId="0" fontId="0" fillId="0" borderId="5" xfId="0" applyBorder="1"/>
    <xf numFmtId="0" fontId="0" fillId="0" borderId="11" xfId="0" applyBorder="1"/>
    <xf numFmtId="0" fontId="0" fillId="0" borderId="26" xfId="0" applyBorder="1"/>
    <xf numFmtId="0" fontId="6" fillId="3" borderId="7" xfId="0" applyFont="1" applyFill="1" applyBorder="1"/>
    <xf numFmtId="0" fontId="0" fillId="0" borderId="38" xfId="0" applyBorder="1"/>
    <xf numFmtId="0" fontId="0" fillId="3" borderId="39" xfId="0" applyFill="1" applyBorder="1"/>
    <xf numFmtId="0" fontId="0" fillId="0" borderId="40" xfId="0" applyBorder="1"/>
    <xf numFmtId="0" fontId="0" fillId="0" borderId="43" xfId="0" applyBorder="1"/>
    <xf numFmtId="0" fontId="0" fillId="0" borderId="47" xfId="0" applyBorder="1"/>
    <xf numFmtId="0" fontId="0" fillId="0" borderId="36" xfId="0" applyBorder="1"/>
    <xf numFmtId="0" fontId="0" fillId="0" borderId="48" xfId="0" applyBorder="1"/>
    <xf numFmtId="0" fontId="0" fillId="0" borderId="39" xfId="0" applyBorder="1"/>
    <xf numFmtId="0" fontId="5" fillId="0" borderId="11" xfId="0" applyFont="1" applyBorder="1"/>
    <xf numFmtId="0" fontId="0" fillId="3" borderId="11" xfId="0" applyFill="1" applyBorder="1"/>
    <xf numFmtId="0" fontId="4" fillId="0" borderId="45" xfId="0" applyFont="1" applyBorder="1" applyAlignment="1">
      <alignment horizontal="center" vertical="center" wrapText="1"/>
    </xf>
    <xf numFmtId="0" fontId="0" fillId="0" borderId="49" xfId="0" applyBorder="1"/>
    <xf numFmtId="0" fontId="0" fillId="0" borderId="50" xfId="0" applyBorder="1"/>
    <xf numFmtId="0" fontId="6" fillId="3" borderId="14" xfId="0" applyFont="1" applyFill="1" applyBorder="1"/>
    <xf numFmtId="0" fontId="0" fillId="0" borderId="53" xfId="0" applyBorder="1"/>
    <xf numFmtId="0" fontId="0" fillId="0" borderId="51" xfId="0" applyBorder="1"/>
    <xf numFmtId="0" fontId="1" fillId="2" borderId="10" xfId="0" applyFont="1" applyFill="1" applyBorder="1" applyAlignment="1">
      <alignment horizontal="center"/>
    </xf>
    <xf numFmtId="0" fontId="6" fillId="3" borderId="4" xfId="0" applyFont="1" applyFill="1" applyBorder="1"/>
    <xf numFmtId="0" fontId="0" fillId="0" borderId="27" xfId="0" applyBorder="1"/>
    <xf numFmtId="0" fontId="0" fillId="9" borderId="46" xfId="0" applyFill="1" applyBorder="1" applyAlignment="1">
      <alignment horizontal="center" vertical="center" textRotation="90"/>
    </xf>
    <xf numFmtId="0" fontId="0" fillId="9" borderId="20" xfId="0" applyFill="1" applyBorder="1"/>
    <xf numFmtId="0" fontId="0" fillId="9" borderId="46" xfId="0" applyFill="1" applyBorder="1"/>
    <xf numFmtId="0" fontId="0" fillId="9" borderId="52" xfId="0" applyFill="1" applyBorder="1"/>
    <xf numFmtId="0" fontId="0" fillId="9" borderId="21" xfId="0" applyFill="1" applyBorder="1" applyAlignment="1">
      <alignment horizontal="center" vertical="center" textRotation="90"/>
    </xf>
    <xf numFmtId="0" fontId="0" fillId="9" borderId="0" xfId="0" applyFill="1" applyAlignment="1">
      <alignment horizontal="center" vertical="center" textRotation="90"/>
    </xf>
    <xf numFmtId="0" fontId="0" fillId="9" borderId="22" xfId="0" applyFill="1" applyBorder="1"/>
    <xf numFmtId="0" fontId="0" fillId="9" borderId="44" xfId="0" applyFill="1" applyBorder="1"/>
    <xf numFmtId="0" fontId="0" fillId="9" borderId="21" xfId="0" applyFill="1" applyBorder="1"/>
    <xf numFmtId="0" fontId="0" fillId="9" borderId="34" xfId="0" applyFill="1" applyBorder="1"/>
    <xf numFmtId="0" fontId="0" fillId="9" borderId="0" xfId="0" applyFill="1"/>
    <xf numFmtId="0" fontId="11" fillId="9" borderId="46" xfId="0" applyFont="1" applyFill="1" applyBorder="1" applyAlignment="1">
      <alignment horizontal="center"/>
    </xf>
    <xf numFmtId="0" fontId="0" fillId="0" borderId="44" xfId="0" applyBorder="1"/>
    <xf numFmtId="0" fontId="0" fillId="10" borderId="21" xfId="0" applyFill="1" applyBorder="1" applyAlignment="1">
      <alignment horizontal="center" vertical="center" textRotation="90"/>
    </xf>
    <xf numFmtId="0" fontId="0" fillId="10" borderId="0" xfId="0" applyFill="1" applyAlignment="1">
      <alignment horizontal="center" vertical="center" textRotation="90"/>
    </xf>
    <xf numFmtId="0" fontId="0" fillId="10" borderId="21" xfId="0" applyFill="1" applyBorder="1"/>
    <xf numFmtId="0" fontId="0" fillId="10" borderId="22" xfId="0" applyFill="1" applyBorder="1"/>
    <xf numFmtId="0" fontId="0" fillId="10" borderId="52" xfId="0" applyFill="1" applyBorder="1"/>
    <xf numFmtId="0" fontId="0" fillId="10" borderId="0" xfId="0" applyFill="1"/>
    <xf numFmtId="0" fontId="0" fillId="10" borderId="44" xfId="0" applyFill="1" applyBorder="1"/>
    <xf numFmtId="0" fontId="0" fillId="10" borderId="46" xfId="0" applyFill="1" applyBorder="1"/>
    <xf numFmtId="0" fontId="11" fillId="10" borderId="46" xfId="0" applyFont="1" applyFill="1" applyBorder="1" applyAlignment="1">
      <alignment horizontal="center"/>
    </xf>
    <xf numFmtId="0" fontId="11" fillId="0" borderId="45" xfId="0" applyFont="1" applyBorder="1" applyAlignment="1">
      <alignment horizontal="center"/>
    </xf>
    <xf numFmtId="0" fontId="0" fillId="10" borderId="55" xfId="0" applyFill="1" applyBorder="1"/>
    <xf numFmtId="0" fontId="0" fillId="10" borderId="20" xfId="0" applyFill="1" applyBorder="1"/>
    <xf numFmtId="0" fontId="0" fillId="4" borderId="0" xfId="0" applyFill="1"/>
    <xf numFmtId="0" fontId="5" fillId="0" borderId="7" xfId="0" applyFont="1" applyBorder="1"/>
    <xf numFmtId="0" fontId="0" fillId="10" borderId="55" xfId="0" applyFill="1" applyBorder="1" applyAlignment="1">
      <alignment horizontal="center" vertical="center" textRotation="90"/>
    </xf>
    <xf numFmtId="0" fontId="0" fillId="10" borderId="34" xfId="0" applyFill="1" applyBorder="1" applyAlignment="1">
      <alignment horizontal="center" vertical="center" textRotation="90"/>
    </xf>
    <xf numFmtId="0" fontId="0" fillId="10" borderId="28" xfId="0" applyFill="1" applyBorder="1"/>
    <xf numFmtId="0" fontId="0" fillId="10" borderId="34" xfId="0" applyFill="1" applyBorder="1"/>
    <xf numFmtId="0" fontId="17" fillId="0" borderId="4" xfId="0" applyFont="1" applyBorder="1"/>
    <xf numFmtId="0" fontId="17" fillId="3" borderId="4" xfId="0" applyFont="1" applyFill="1" applyBorder="1"/>
    <xf numFmtId="0" fontId="18" fillId="0" borderId="4" xfId="0" applyFont="1" applyBorder="1"/>
    <xf numFmtId="0" fontId="0" fillId="3" borderId="56" xfId="0" applyFill="1" applyBorder="1"/>
    <xf numFmtId="0" fontId="0" fillId="3" borderId="26" xfId="0" applyFill="1" applyBorder="1"/>
    <xf numFmtId="0" fontId="6" fillId="3" borderId="42" xfId="0" applyFont="1" applyFill="1" applyBorder="1"/>
    <xf numFmtId="0" fontId="0" fillId="0" borderId="32" xfId="0" applyBorder="1"/>
    <xf numFmtId="0" fontId="5" fillId="0" borderId="6" xfId="0" applyFont="1" applyBorder="1"/>
    <xf numFmtId="0" fontId="0" fillId="0" borderId="57" xfId="0" applyBorder="1"/>
    <xf numFmtId="0" fontId="1" fillId="9" borderId="0" xfId="0" applyFont="1" applyFill="1" applyAlignment="1">
      <alignment vertical="center" textRotation="90"/>
    </xf>
    <xf numFmtId="0" fontId="1" fillId="0" borderId="23" xfId="0" applyFont="1" applyBorder="1"/>
    <xf numFmtId="0" fontId="1" fillId="0" borderId="16" xfId="0" applyFont="1" applyBorder="1"/>
    <xf numFmtId="0" fontId="1" fillId="0" borderId="17" xfId="0" applyFont="1" applyBorder="1"/>
    <xf numFmtId="0" fontId="1" fillId="0" borderId="18" xfId="0" applyFont="1" applyBorder="1"/>
    <xf numFmtId="0" fontId="1" fillId="9" borderId="44" xfId="0" applyFont="1" applyFill="1" applyBorder="1"/>
    <xf numFmtId="0" fontId="1" fillId="9" borderId="0" xfId="0" applyFont="1" applyFill="1"/>
    <xf numFmtId="0" fontId="1" fillId="0" borderId="41" xfId="0" applyFont="1" applyBorder="1"/>
    <xf numFmtId="0" fontId="1" fillId="0" borderId="26" xfId="0" applyFont="1" applyBorder="1"/>
    <xf numFmtId="0" fontId="1" fillId="0" borderId="42" xfId="0" applyFont="1" applyBorder="1"/>
    <xf numFmtId="0" fontId="1" fillId="0" borderId="0" xfId="0" applyFont="1"/>
    <xf numFmtId="0" fontId="0" fillId="11" borderId="16" xfId="0" applyFill="1" applyBorder="1"/>
    <xf numFmtId="0" fontId="0" fillId="11" borderId="58" xfId="0" applyFill="1" applyBorder="1"/>
    <xf numFmtId="0" fontId="0" fillId="0" borderId="58" xfId="0" applyBorder="1"/>
    <xf numFmtId="0" fontId="1" fillId="9" borderId="0" xfId="0" applyFont="1" applyFill="1" applyAlignment="1">
      <alignment horizontal="center" vertical="center" textRotation="90"/>
    </xf>
    <xf numFmtId="0" fontId="1" fillId="0" borderId="25" xfId="0" applyFont="1" applyBorder="1"/>
    <xf numFmtId="0" fontId="1" fillId="3" borderId="4" xfId="0" applyFont="1" applyFill="1" applyBorder="1"/>
    <xf numFmtId="0" fontId="19" fillId="3" borderId="14" xfId="0" applyFont="1" applyFill="1" applyBorder="1"/>
    <xf numFmtId="49" fontId="0" fillId="0" borderId="12" xfId="0" applyNumberFormat="1" applyBorder="1"/>
    <xf numFmtId="49" fontId="0" fillId="0" borderId="14" xfId="0" applyNumberFormat="1" applyBorder="1"/>
    <xf numFmtId="49" fontId="0" fillId="0" borderId="15" xfId="0" applyNumberFormat="1" applyBorder="1"/>
    <xf numFmtId="0" fontId="0" fillId="12" borderId="3" xfId="0" applyFill="1" applyBorder="1"/>
    <xf numFmtId="0" fontId="0" fillId="13" borderId="3" xfId="0" applyFill="1" applyBorder="1"/>
    <xf numFmtId="0" fontId="0" fillId="14" borderId="1" xfId="0" applyFill="1" applyBorder="1"/>
    <xf numFmtId="0" fontId="0" fillId="14" borderId="2" xfId="0" applyFill="1" applyBorder="1"/>
    <xf numFmtId="0" fontId="12" fillId="4" borderId="33" xfId="0" applyFont="1" applyFill="1" applyBorder="1" applyAlignment="1">
      <alignment horizontal="center"/>
    </xf>
    <xf numFmtId="0" fontId="0" fillId="12" borderId="3" xfId="0" applyFill="1" applyBorder="1" applyAlignment="1">
      <alignment wrapText="1"/>
    </xf>
    <xf numFmtId="0" fontId="0" fillId="13" borderId="3" xfId="0" applyFill="1" applyBorder="1" applyAlignment="1">
      <alignment wrapText="1"/>
    </xf>
    <xf numFmtId="0" fontId="0" fillId="3" borderId="13" xfId="0" applyFill="1" applyBorder="1"/>
    <xf numFmtId="0" fontId="5" fillId="0" borderId="50" xfId="0" applyFont="1" applyBorder="1"/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1" fillId="0" borderId="4" xfId="0" applyFont="1" applyBorder="1" applyAlignment="1">
      <alignment horizontal="center" vertical="center" wrapText="1"/>
    </xf>
    <xf numFmtId="0" fontId="0" fillId="12" borderId="4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2" xfId="0" applyBorder="1"/>
    <xf numFmtId="0" fontId="0" fillId="0" borderId="60" xfId="0" applyBorder="1"/>
    <xf numFmtId="0" fontId="0" fillId="0" borderId="29" xfId="0" applyBorder="1"/>
    <xf numFmtId="0" fontId="0" fillId="0" borderId="46" xfId="0" applyBorder="1"/>
    <xf numFmtId="0" fontId="20" fillId="0" borderId="4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/>
    </xf>
    <xf numFmtId="0" fontId="0" fillId="0" borderId="10" xfId="0" applyBorder="1"/>
    <xf numFmtId="0" fontId="0" fillId="0" borderId="61" xfId="0" applyBorder="1" applyAlignment="1">
      <alignment horizontal="left" vertical="center"/>
    </xf>
    <xf numFmtId="0" fontId="20" fillId="0" borderId="5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 wrapText="1"/>
    </xf>
    <xf numFmtId="0" fontId="0" fillId="3" borderId="47" xfId="0" applyFill="1" applyBorder="1"/>
    <xf numFmtId="0" fontId="0" fillId="3" borderId="62" xfId="0" applyFill="1" applyBorder="1"/>
    <xf numFmtId="0" fontId="0" fillId="0" borderId="45" xfId="0" applyBorder="1"/>
    <xf numFmtId="0" fontId="0" fillId="0" borderId="28" xfId="0" applyBorder="1"/>
    <xf numFmtId="0" fontId="0" fillId="4" borderId="4" xfId="0" applyFill="1" applyBorder="1"/>
    <xf numFmtId="0" fontId="22" fillId="0" borderId="4" xfId="0" applyFont="1" applyBorder="1"/>
    <xf numFmtId="0" fontId="22" fillId="0" borderId="0" xfId="0" applyFont="1" applyAlignment="1">
      <alignment horizontal="center" wrapText="1"/>
    </xf>
    <xf numFmtId="49" fontId="0" fillId="0" borderId="0" xfId="0" applyNumberFormat="1"/>
    <xf numFmtId="0" fontId="0" fillId="0" borderId="4" xfId="0" applyBorder="1" applyAlignment="1">
      <alignment wrapText="1"/>
    </xf>
    <xf numFmtId="0" fontId="0" fillId="4" borderId="50" xfId="0" applyFill="1" applyBorder="1"/>
    <xf numFmtId="0" fontId="24" fillId="18" borderId="63" xfId="0" applyFont="1" applyFill="1" applyBorder="1" applyAlignment="1">
      <alignment horizontal="center" vertical="center" wrapText="1"/>
    </xf>
    <xf numFmtId="0" fontId="24" fillId="18" borderId="64" xfId="0" applyFont="1" applyFill="1" applyBorder="1" applyAlignment="1">
      <alignment horizontal="center" vertical="center" wrapText="1"/>
    </xf>
    <xf numFmtId="0" fontId="25" fillId="18" borderId="64" xfId="0" applyFont="1" applyFill="1" applyBorder="1" applyAlignment="1">
      <alignment horizontal="center" vertical="center" wrapText="1"/>
    </xf>
    <xf numFmtId="0" fontId="24" fillId="18" borderId="64" xfId="0" applyFont="1" applyFill="1" applyBorder="1" applyAlignment="1">
      <alignment horizontal="left" vertical="center" wrapText="1"/>
    </xf>
    <xf numFmtId="0" fontId="24" fillId="18" borderId="65" xfId="0" applyFont="1" applyFill="1" applyBorder="1" applyAlignment="1">
      <alignment horizontal="center" vertical="center" wrapText="1"/>
    </xf>
    <xf numFmtId="0" fontId="24" fillId="18" borderId="66" xfId="0" applyFont="1" applyFill="1" applyBorder="1" applyAlignment="1">
      <alignment horizontal="center" vertical="center" wrapText="1"/>
    </xf>
    <xf numFmtId="0" fontId="25" fillId="18" borderId="66" xfId="0" applyFont="1" applyFill="1" applyBorder="1" applyAlignment="1">
      <alignment horizontal="center" vertical="center" wrapText="1"/>
    </xf>
    <xf numFmtId="0" fontId="24" fillId="18" borderId="66" xfId="0" applyFont="1" applyFill="1" applyBorder="1" applyAlignment="1">
      <alignment horizontal="left" vertical="center" wrapText="1"/>
    </xf>
    <xf numFmtId="0" fontId="24" fillId="19" borderId="63" xfId="0" applyFont="1" applyFill="1" applyBorder="1" applyAlignment="1">
      <alignment horizontal="center" vertical="center" wrapText="1"/>
    </xf>
    <xf numFmtId="0" fontId="24" fillId="19" borderId="64" xfId="0" applyFont="1" applyFill="1" applyBorder="1" applyAlignment="1">
      <alignment horizontal="center" vertical="center" wrapText="1"/>
    </xf>
    <xf numFmtId="0" fontId="24" fillId="19" borderId="64" xfId="0" applyFont="1" applyFill="1" applyBorder="1" applyAlignment="1">
      <alignment horizontal="justify" vertical="center" wrapText="1"/>
    </xf>
    <xf numFmtId="0" fontId="24" fillId="19" borderId="65" xfId="0" applyFont="1" applyFill="1" applyBorder="1" applyAlignment="1">
      <alignment horizontal="center" vertical="center" wrapText="1"/>
    </xf>
    <xf numFmtId="0" fontId="24" fillId="19" borderId="66" xfId="0" applyFont="1" applyFill="1" applyBorder="1" applyAlignment="1">
      <alignment horizontal="center" vertical="center" wrapText="1"/>
    </xf>
    <xf numFmtId="0" fontId="24" fillId="19" borderId="66" xfId="0" applyFont="1" applyFill="1" applyBorder="1" applyAlignment="1">
      <alignment horizontal="justify" vertical="center" wrapText="1"/>
    </xf>
    <xf numFmtId="0" fontId="24" fillId="19" borderId="66" xfId="0" applyFont="1" applyFill="1" applyBorder="1" applyAlignment="1">
      <alignment horizontal="left" vertical="center" wrapText="1" indent="5"/>
    </xf>
    <xf numFmtId="0" fontId="24" fillId="19" borderId="66" xfId="0" applyFont="1" applyFill="1" applyBorder="1" applyAlignment="1">
      <alignment horizontal="left" vertical="center" wrapText="1"/>
    </xf>
    <xf numFmtId="0" fontId="24" fillId="19" borderId="67" xfId="0" applyFont="1" applyFill="1" applyBorder="1" applyAlignment="1">
      <alignment horizontal="left" vertical="center" wrapText="1"/>
    </xf>
    <xf numFmtId="0" fontId="1" fillId="20" borderId="16" xfId="0" applyFont="1" applyFill="1" applyBorder="1"/>
    <xf numFmtId="0" fontId="1" fillId="20" borderId="17" xfId="0" applyFont="1" applyFill="1" applyBorder="1"/>
    <xf numFmtId="0" fontId="1" fillId="20" borderId="18" xfId="0" applyFont="1" applyFill="1" applyBorder="1"/>
    <xf numFmtId="0" fontId="0" fillId="3" borderId="3" xfId="0" applyFill="1" applyBorder="1"/>
    <xf numFmtId="0" fontId="3" fillId="3" borderId="4" xfId="0" applyFont="1" applyFill="1" applyBorder="1"/>
    <xf numFmtId="0" fontId="0" fillId="21" borderId="35" xfId="0" applyFill="1" applyBorder="1"/>
    <xf numFmtId="0" fontId="0" fillId="21" borderId="70" xfId="0" applyFill="1" applyBorder="1"/>
    <xf numFmtId="0" fontId="27" fillId="21" borderId="24" xfId="0" applyFont="1" applyFill="1" applyBorder="1"/>
    <xf numFmtId="0" fontId="0" fillId="21" borderId="41" xfId="0" applyFill="1" applyBorder="1"/>
    <xf numFmtId="0" fontId="0" fillId="21" borderId="56" xfId="0" applyFill="1" applyBorder="1"/>
    <xf numFmtId="0" fontId="27" fillId="21" borderId="26" xfId="0" applyFont="1" applyFill="1" applyBorder="1"/>
    <xf numFmtId="0" fontId="0" fillId="0" borderId="71" xfId="0" applyBorder="1"/>
    <xf numFmtId="0" fontId="0" fillId="9" borderId="71" xfId="0" applyFill="1" applyBorder="1"/>
    <xf numFmtId="0" fontId="0" fillId="9" borderId="71" xfId="0" applyFill="1" applyBorder="1" applyAlignment="1">
      <alignment horizontal="center" vertical="center" textRotation="90"/>
    </xf>
    <xf numFmtId="0" fontId="0" fillId="9" borderId="72" xfId="0" applyFill="1" applyBorder="1"/>
    <xf numFmtId="0" fontId="0" fillId="4" borderId="71" xfId="0" applyFill="1" applyBorder="1"/>
    <xf numFmtId="0" fontId="0" fillId="0" borderId="73" xfId="0" applyBorder="1"/>
    <xf numFmtId="0" fontId="0" fillId="0" borderId="69" xfId="0" applyBorder="1"/>
    <xf numFmtId="0" fontId="0" fillId="0" borderId="74" xfId="0" applyBorder="1"/>
    <xf numFmtId="0" fontId="0" fillId="20" borderId="36" xfId="0" applyFill="1" applyBorder="1"/>
    <xf numFmtId="0" fontId="0" fillId="20" borderId="47" xfId="0" applyFill="1" applyBorder="1"/>
    <xf numFmtId="0" fontId="27" fillId="21" borderId="36" xfId="0" applyFont="1" applyFill="1" applyBorder="1"/>
    <xf numFmtId="0" fontId="27" fillId="21" borderId="75" xfId="0" applyFont="1" applyFill="1" applyBorder="1"/>
    <xf numFmtId="0" fontId="0" fillId="11" borderId="20" xfId="0" applyFill="1" applyBorder="1"/>
    <xf numFmtId="0" fontId="0" fillId="20" borderId="48" xfId="0" applyFill="1" applyBorder="1"/>
    <xf numFmtId="0" fontId="0" fillId="20" borderId="37" xfId="0" applyFill="1" applyBorder="1"/>
    <xf numFmtId="0" fontId="0" fillId="20" borderId="51" xfId="0" applyFill="1" applyBorder="1"/>
    <xf numFmtId="0" fontId="6" fillId="3" borderId="8" xfId="0" applyFont="1" applyFill="1" applyBorder="1"/>
    <xf numFmtId="0" fontId="0" fillId="0" borderId="62" xfId="0" applyBorder="1"/>
    <xf numFmtId="0" fontId="0" fillId="22" borderId="45" xfId="0" applyFill="1" applyBorder="1"/>
    <xf numFmtId="0" fontId="0" fillId="22" borderId="22" xfId="0" applyFill="1" applyBorder="1"/>
    <xf numFmtId="0" fontId="0" fillId="0" borderId="21" xfId="0" applyBorder="1"/>
    <xf numFmtId="0" fontId="6" fillId="6" borderId="8" xfId="0" applyFont="1" applyFill="1" applyBorder="1"/>
    <xf numFmtId="0" fontId="6" fillId="6" borderId="50" xfId="0" applyFont="1" applyFill="1" applyBorder="1"/>
    <xf numFmtId="0" fontId="6" fillId="6" borderId="13" xfId="0" applyFont="1" applyFill="1" applyBorder="1"/>
    <xf numFmtId="0" fontId="6" fillId="6" borderId="4" xfId="0" applyFont="1" applyFill="1" applyBorder="1"/>
    <xf numFmtId="0" fontId="6" fillId="6" borderId="14" xfId="0" applyFont="1" applyFill="1" applyBorder="1"/>
    <xf numFmtId="0" fontId="6" fillId="6" borderId="57" xfId="0" applyFont="1" applyFill="1" applyBorder="1"/>
    <xf numFmtId="0" fontId="6" fillId="6" borderId="11" xfId="0" applyFont="1" applyFill="1" applyBorder="1"/>
    <xf numFmtId="0" fontId="6" fillId="6" borderId="33" xfId="0" applyFont="1" applyFill="1" applyBorder="1"/>
    <xf numFmtId="0" fontId="27" fillId="21" borderId="42" xfId="0" applyFont="1" applyFill="1" applyBorder="1"/>
    <xf numFmtId="0" fontId="1" fillId="0" borderId="19" xfId="0" applyFont="1" applyBorder="1"/>
    <xf numFmtId="0" fontId="0" fillId="11" borderId="35" xfId="0" applyFill="1" applyBorder="1"/>
    <xf numFmtId="0" fontId="0" fillId="11" borderId="70" xfId="0" applyFill="1" applyBorder="1"/>
    <xf numFmtId="0" fontId="0" fillId="0" borderId="76" xfId="0" applyBorder="1"/>
    <xf numFmtId="0" fontId="1" fillId="0" borderId="69" xfId="0" applyFont="1" applyBorder="1"/>
    <xf numFmtId="0" fontId="0" fillId="9" borderId="54" xfId="0" applyFill="1" applyBorder="1"/>
    <xf numFmtId="0" fontId="0" fillId="9" borderId="55" xfId="0" applyFill="1" applyBorder="1"/>
    <xf numFmtId="0" fontId="0" fillId="21" borderId="21" xfId="0" applyFill="1" applyBorder="1"/>
    <xf numFmtId="0" fontId="0" fillId="3" borderId="57" xfId="0" applyFill="1" applyBorder="1"/>
    <xf numFmtId="0" fontId="0" fillId="3" borderId="33" xfId="0" applyFill="1" applyBorder="1"/>
    <xf numFmtId="0" fontId="27" fillId="21" borderId="22" xfId="0" applyFont="1" applyFill="1" applyBorder="1"/>
    <xf numFmtId="0" fontId="6" fillId="3" borderId="11" xfId="0" applyFont="1" applyFill="1" applyBorder="1"/>
    <xf numFmtId="0" fontId="0" fillId="21" borderId="52" xfId="0" applyFill="1" applyBorder="1"/>
    <xf numFmtId="0" fontId="0" fillId="0" borderId="22" xfId="0" applyBorder="1"/>
    <xf numFmtId="0" fontId="14" fillId="3" borderId="54" xfId="0" applyFont="1" applyFill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0" borderId="19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 wrapText="1"/>
    </xf>
    <xf numFmtId="49" fontId="0" fillId="0" borderId="54" xfId="0" applyNumberFormat="1" applyBorder="1" applyAlignment="1">
      <alignment horizontal="center" vertical="center"/>
    </xf>
    <xf numFmtId="0" fontId="14" fillId="3" borderId="45" xfId="0" applyFont="1" applyFill="1" applyBorder="1" applyAlignment="1">
      <alignment horizontal="center"/>
    </xf>
    <xf numFmtId="14" fontId="0" fillId="0" borderId="31" xfId="0" applyNumberFormat="1" applyBorder="1" applyAlignment="1">
      <alignment horizontal="center"/>
    </xf>
    <xf numFmtId="14" fontId="0" fillId="0" borderId="31" xfId="0" applyNumberFormat="1" applyBorder="1" applyAlignment="1">
      <alignment horizontal="center" vertical="center"/>
    </xf>
    <xf numFmtId="14" fontId="0" fillId="0" borderId="31" xfId="0" applyNumberFormat="1" applyBorder="1" applyAlignment="1">
      <alignment horizontal="center" vertical="center" wrapText="1"/>
    </xf>
    <xf numFmtId="14" fontId="0" fillId="0" borderId="45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1" xfId="0" applyBorder="1" applyAlignment="1">
      <alignment horizontal="center" vertical="center" wrapText="1"/>
    </xf>
    <xf numFmtId="0" fontId="0" fillId="0" borderId="31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19" xfId="0" applyBorder="1"/>
    <xf numFmtId="0" fontId="0" fillId="0" borderId="20" xfId="0" applyBorder="1"/>
    <xf numFmtId="14" fontId="0" fillId="0" borderId="31" xfId="0" applyNumberForma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20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13" fillId="0" borderId="0" xfId="0" applyFont="1" applyAlignment="1">
      <alignment horizontal="center"/>
    </xf>
    <xf numFmtId="0" fontId="14" fillId="3" borderId="20" xfId="0" applyFont="1" applyFill="1" applyBorder="1" applyAlignment="1">
      <alignment horizontal="center"/>
    </xf>
    <xf numFmtId="0" fontId="14" fillId="3" borderId="10" xfId="0" applyFont="1" applyFill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0" fontId="0" fillId="0" borderId="21" xfId="0" applyBorder="1" applyAlignment="1">
      <alignment horizontal="left" vertical="center" wrapText="1"/>
    </xf>
    <xf numFmtId="0" fontId="0" fillId="0" borderId="22" xfId="0" applyBorder="1" applyAlignment="1">
      <alignment horizontal="left" vertical="center" wrapText="1"/>
    </xf>
    <xf numFmtId="0" fontId="0" fillId="4" borderId="49" xfId="0" applyFill="1" applyBorder="1" applyAlignment="1">
      <alignment horizontal="center" vertical="center"/>
    </xf>
    <xf numFmtId="0" fontId="0" fillId="13" borderId="11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6" borderId="39" xfId="0" applyFill="1" applyBorder="1" applyAlignment="1">
      <alignment horizontal="center" vertical="center" wrapText="1"/>
    </xf>
    <xf numFmtId="0" fontId="0" fillId="16" borderId="49" xfId="0" applyFill="1" applyBorder="1" applyAlignment="1">
      <alignment horizontal="center" vertical="center" wrapText="1"/>
    </xf>
    <xf numFmtId="0" fontId="0" fillId="16" borderId="9" xfId="0" applyFill="1" applyBorder="1" applyAlignment="1">
      <alignment horizontal="center" vertical="center" wrapText="1"/>
    </xf>
    <xf numFmtId="0" fontId="0" fillId="17" borderId="59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5" borderId="50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7" fillId="0" borderId="45" xfId="0" applyFont="1" applyBorder="1" applyAlignment="1">
      <alignment horizontal="center" vertical="center" wrapText="1"/>
    </xf>
    <xf numFmtId="0" fontId="7" fillId="0" borderId="28" xfId="0" applyFont="1" applyBorder="1" applyAlignment="1">
      <alignment horizontal="center" vertical="center" wrapText="1"/>
    </xf>
    <xf numFmtId="0" fontId="7" fillId="0" borderId="29" xfId="0" applyFont="1" applyBorder="1" applyAlignment="1">
      <alignment horizontal="center" vertical="center" wrapText="1"/>
    </xf>
    <xf numFmtId="0" fontId="0" fillId="0" borderId="51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4" fillId="19" borderId="68" xfId="0" applyFont="1" applyFill="1" applyBorder="1" applyAlignment="1">
      <alignment horizontal="center" vertical="center" wrapText="1"/>
    </xf>
    <xf numFmtId="0" fontId="24" fillId="19" borderId="65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1" fillId="7" borderId="19" xfId="0" applyFont="1" applyFill="1" applyBorder="1" applyAlignment="1">
      <alignment horizontal="center"/>
    </xf>
    <xf numFmtId="0" fontId="1" fillId="7" borderId="20" xfId="0" applyFont="1" applyFill="1" applyBorder="1" applyAlignment="1">
      <alignment horizontal="center"/>
    </xf>
    <xf numFmtId="0" fontId="1" fillId="7" borderId="10" xfId="0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5" fillId="9" borderId="54" xfId="0" applyFont="1" applyFill="1" applyBorder="1" applyAlignment="1">
      <alignment horizontal="center" vertical="center" textRotation="90"/>
    </xf>
    <xf numFmtId="0" fontId="15" fillId="9" borderId="55" xfId="0" applyFont="1" applyFill="1" applyBorder="1" applyAlignment="1">
      <alignment horizontal="center" vertical="center" textRotation="90"/>
    </xf>
    <xf numFmtId="0" fontId="15" fillId="9" borderId="34" xfId="0" applyFont="1" applyFill="1" applyBorder="1" applyAlignment="1">
      <alignment horizontal="center" vertical="center" textRotation="90"/>
    </xf>
    <xf numFmtId="0" fontId="15" fillId="10" borderId="54" xfId="0" applyFont="1" applyFill="1" applyBorder="1" applyAlignment="1">
      <alignment horizontal="center" vertical="center" textRotation="90"/>
    </xf>
    <xf numFmtId="0" fontId="15" fillId="10" borderId="55" xfId="0" applyFont="1" applyFill="1" applyBorder="1" applyAlignment="1">
      <alignment horizontal="center" vertical="center" textRotation="90"/>
    </xf>
    <xf numFmtId="0" fontId="15" fillId="10" borderId="34" xfId="0" applyFont="1" applyFill="1" applyBorder="1" applyAlignment="1">
      <alignment horizontal="center" vertical="center" textRotation="90"/>
    </xf>
    <xf numFmtId="0" fontId="0" fillId="6" borderId="19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1" fillId="2" borderId="19" xfId="0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0" fillId="0" borderId="45" xfId="0" applyBorder="1" applyAlignment="1">
      <alignment horizontal="center" vertical="center" textRotation="90"/>
    </xf>
    <xf numFmtId="0" fontId="0" fillId="0" borderId="28" xfId="0" applyBorder="1" applyAlignment="1">
      <alignment horizontal="center" vertical="center" textRotation="90"/>
    </xf>
    <xf numFmtId="0" fontId="0" fillId="0" borderId="29" xfId="0" applyBorder="1" applyAlignment="1">
      <alignment horizontal="center" vertical="center" textRotation="90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2" xfId="0" applyFill="1" applyBorder="1" applyAlignment="1">
      <alignment horizontal="center"/>
    </xf>
    <xf numFmtId="0" fontId="1" fillId="2" borderId="34" xfId="0" applyFont="1" applyFill="1" applyBorder="1" applyAlignment="1">
      <alignment horizontal="center"/>
    </xf>
    <xf numFmtId="0" fontId="1" fillId="2" borderId="46" xfId="0" applyFont="1" applyFill="1" applyBorder="1" applyAlignment="1">
      <alignment horizontal="center"/>
    </xf>
    <xf numFmtId="0" fontId="1" fillId="2" borderId="52" xfId="0" applyFont="1" applyFill="1" applyBorder="1" applyAlignment="1">
      <alignment horizontal="center"/>
    </xf>
    <xf numFmtId="0" fontId="1" fillId="2" borderId="54" xfId="0" applyFont="1" applyFill="1" applyBorder="1" applyAlignment="1">
      <alignment horizontal="center"/>
    </xf>
    <xf numFmtId="0" fontId="15" fillId="9" borderId="55" xfId="0" applyFont="1" applyFill="1" applyBorder="1" applyAlignment="1">
      <alignment vertical="center" textRotation="90"/>
    </xf>
    <xf numFmtId="0" fontId="15" fillId="9" borderId="34" xfId="0" applyFont="1" applyFill="1" applyBorder="1" applyAlignment="1">
      <alignment vertical="center" textRotation="90"/>
    </xf>
    <xf numFmtId="0" fontId="0" fillId="0" borderId="45" xfId="0" applyBorder="1" applyAlignment="1">
      <alignment horizontal="center" vertical="center" textRotation="90" wrapText="1"/>
    </xf>
  </cellXfs>
  <cellStyles count="2">
    <cellStyle name="Normal" xfId="0" builtinId="0"/>
    <cellStyle name="Normal 2" xfId="1" xr:uid="{00000000-0005-0000-0000-000001000000}"/>
  </cellStyles>
  <dxfs count="504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0</xdr:row>
      <xdr:rowOff>0</xdr:rowOff>
    </xdr:from>
    <xdr:ext cx="1514475" cy="1020994"/>
    <xdr:pic>
      <xdr:nvPicPr>
        <xdr:cNvPr id="2" name="1 Imagen" descr="Talgo.bmp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84860" y="0"/>
          <a:ext cx="1514475" cy="102099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180975</xdr:colOff>
      <xdr:row>0</xdr:row>
      <xdr:rowOff>85725</xdr:rowOff>
    </xdr:from>
    <xdr:to>
      <xdr:col>8</xdr:col>
      <xdr:colOff>76200</xdr:colOff>
      <xdr:row>14</xdr:row>
      <xdr:rowOff>134675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1225" y="85725"/>
          <a:ext cx="3943350" cy="2715950"/>
        </a:xfrm>
        <a:prstGeom prst="rect">
          <a:avLst/>
        </a:prstGeom>
      </xdr:spPr>
    </xdr:pic>
    <xdr:clientData/>
  </xdr:twoCellAnchor>
  <xdr:twoCellAnchor editAs="oneCell">
    <xdr:from>
      <xdr:col>34</xdr:col>
      <xdr:colOff>57149</xdr:colOff>
      <xdr:row>0</xdr:row>
      <xdr:rowOff>38099</xdr:rowOff>
    </xdr:from>
    <xdr:to>
      <xdr:col>40</xdr:col>
      <xdr:colOff>356435</xdr:colOff>
      <xdr:row>13</xdr:row>
      <xdr:rowOff>180974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621124" y="38099"/>
          <a:ext cx="4080711" cy="2619375"/>
        </a:xfrm>
        <a:prstGeom prst="rect">
          <a:avLst/>
        </a:prstGeom>
      </xdr:spPr>
    </xdr:pic>
    <xdr:clientData/>
  </xdr:twoCellAnchor>
  <xdr:twoCellAnchor editAs="oneCell">
    <xdr:from>
      <xdr:col>63</xdr:col>
      <xdr:colOff>19050</xdr:colOff>
      <xdr:row>0</xdr:row>
      <xdr:rowOff>95249</xdr:rowOff>
    </xdr:from>
    <xdr:to>
      <xdr:col>70</xdr:col>
      <xdr:colOff>361950</xdr:colOff>
      <xdr:row>14</xdr:row>
      <xdr:rowOff>44386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889700" y="95249"/>
          <a:ext cx="4219575" cy="2616137"/>
        </a:xfrm>
        <a:prstGeom prst="rect">
          <a:avLst/>
        </a:prstGeom>
      </xdr:spPr>
    </xdr:pic>
    <xdr:clientData/>
  </xdr:twoCellAnchor>
  <xdr:twoCellAnchor editAs="oneCell">
    <xdr:from>
      <xdr:col>72</xdr:col>
      <xdr:colOff>209550</xdr:colOff>
      <xdr:row>0</xdr:row>
      <xdr:rowOff>95249</xdr:rowOff>
    </xdr:from>
    <xdr:to>
      <xdr:col>79</xdr:col>
      <xdr:colOff>190500</xdr:colOff>
      <xdr:row>14</xdr:row>
      <xdr:rowOff>92364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585525" y="95249"/>
          <a:ext cx="4057650" cy="2664115"/>
        </a:xfrm>
        <a:prstGeom prst="rect">
          <a:avLst/>
        </a:prstGeom>
      </xdr:spPr>
    </xdr:pic>
    <xdr:clientData/>
  </xdr:twoCellAnchor>
  <xdr:oneCellAnchor>
    <xdr:from>
      <xdr:col>81</xdr:col>
      <xdr:colOff>19050</xdr:colOff>
      <xdr:row>0</xdr:row>
      <xdr:rowOff>95249</xdr:rowOff>
    </xdr:from>
    <xdr:ext cx="4219575" cy="2616137"/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889700" y="95249"/>
          <a:ext cx="4219575" cy="2616137"/>
        </a:xfrm>
        <a:prstGeom prst="rect">
          <a:avLst/>
        </a:prstGeom>
      </xdr:spPr>
    </xdr:pic>
    <xdr:clientData/>
  </xdr:oneCellAnchor>
  <xdr:oneCellAnchor>
    <xdr:from>
      <xdr:col>90</xdr:col>
      <xdr:colOff>209550</xdr:colOff>
      <xdr:row>0</xdr:row>
      <xdr:rowOff>95249</xdr:rowOff>
    </xdr:from>
    <xdr:ext cx="4057650" cy="2664115"/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585525" y="95249"/>
          <a:ext cx="4057650" cy="2664115"/>
        </a:xfrm>
        <a:prstGeom prst="rect">
          <a:avLst/>
        </a:prstGeom>
      </xdr:spPr>
    </xdr:pic>
    <xdr:clientData/>
  </xdr:oneCellAnchor>
  <xdr:oneCellAnchor>
    <xdr:from>
      <xdr:col>99</xdr:col>
      <xdr:colOff>19050</xdr:colOff>
      <xdr:row>0</xdr:row>
      <xdr:rowOff>95249</xdr:rowOff>
    </xdr:from>
    <xdr:ext cx="4219575" cy="2616137"/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889700" y="95249"/>
          <a:ext cx="4219575" cy="2616137"/>
        </a:xfrm>
        <a:prstGeom prst="rect">
          <a:avLst/>
        </a:prstGeom>
      </xdr:spPr>
    </xdr:pic>
    <xdr:clientData/>
  </xdr:oneCellAnchor>
  <xdr:oneCellAnchor>
    <xdr:from>
      <xdr:col>108</xdr:col>
      <xdr:colOff>209550</xdr:colOff>
      <xdr:row>0</xdr:row>
      <xdr:rowOff>95249</xdr:rowOff>
    </xdr:from>
    <xdr:ext cx="4057650" cy="2664115"/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585525" y="95249"/>
          <a:ext cx="4057650" cy="2664115"/>
        </a:xfrm>
        <a:prstGeom prst="rect">
          <a:avLst/>
        </a:prstGeom>
      </xdr:spPr>
    </xdr:pic>
    <xdr:clientData/>
  </xdr:oneCellAnchor>
  <xdr:oneCellAnchor>
    <xdr:from>
      <xdr:col>117</xdr:col>
      <xdr:colOff>19050</xdr:colOff>
      <xdr:row>0</xdr:row>
      <xdr:rowOff>95249</xdr:rowOff>
    </xdr:from>
    <xdr:ext cx="4219575" cy="2616137"/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889700" y="95249"/>
          <a:ext cx="4219575" cy="2616137"/>
        </a:xfrm>
        <a:prstGeom prst="rect">
          <a:avLst/>
        </a:prstGeom>
      </xdr:spPr>
    </xdr:pic>
    <xdr:clientData/>
  </xdr:oneCellAnchor>
  <xdr:oneCellAnchor>
    <xdr:from>
      <xdr:col>126</xdr:col>
      <xdr:colOff>209550</xdr:colOff>
      <xdr:row>0</xdr:row>
      <xdr:rowOff>95249</xdr:rowOff>
    </xdr:from>
    <xdr:ext cx="4057650" cy="2664115"/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585525" y="95249"/>
          <a:ext cx="4057650" cy="2664115"/>
        </a:xfrm>
        <a:prstGeom prst="rect">
          <a:avLst/>
        </a:prstGeom>
      </xdr:spPr>
    </xdr:pic>
    <xdr:clientData/>
  </xdr:oneCellAnchor>
  <xdr:oneCellAnchor>
    <xdr:from>
      <xdr:col>45</xdr:col>
      <xdr:colOff>85725</xdr:colOff>
      <xdr:row>0</xdr:row>
      <xdr:rowOff>114299</xdr:rowOff>
    </xdr:from>
    <xdr:ext cx="4219575" cy="2616137"/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4403050" y="114299"/>
          <a:ext cx="4219575" cy="2616137"/>
        </a:xfrm>
        <a:prstGeom prst="rect">
          <a:avLst/>
        </a:prstGeom>
      </xdr:spPr>
    </xdr:pic>
    <xdr:clientData/>
  </xdr:oneCellAnchor>
  <xdr:oneCellAnchor>
    <xdr:from>
      <xdr:col>54</xdr:col>
      <xdr:colOff>209550</xdr:colOff>
      <xdr:row>0</xdr:row>
      <xdr:rowOff>95249</xdr:rowOff>
    </xdr:from>
    <xdr:ext cx="4057650" cy="2664115"/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137225" y="95249"/>
          <a:ext cx="4057650" cy="2664115"/>
        </a:xfrm>
        <a:prstGeom prst="rect">
          <a:avLst/>
        </a:prstGeom>
      </xdr:spPr>
    </xdr:pic>
    <xdr:clientData/>
  </xdr:oneCellAnchor>
  <xdr:twoCellAnchor>
    <xdr:from>
      <xdr:col>11</xdr:col>
      <xdr:colOff>276225</xdr:colOff>
      <xdr:row>2</xdr:row>
      <xdr:rowOff>19051</xdr:rowOff>
    </xdr:from>
    <xdr:to>
      <xdr:col>18</xdr:col>
      <xdr:colOff>76199</xdr:colOff>
      <xdr:row>13</xdr:row>
      <xdr:rowOff>87970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9198452E-DF4B-4EC4-B7BA-6B044D2130EC}"/>
            </a:ext>
          </a:extLst>
        </xdr:cNvPr>
        <xdr:cNvGrpSpPr/>
      </xdr:nvGrpSpPr>
      <xdr:grpSpPr>
        <a:xfrm>
          <a:off x="7215868" y="400051"/>
          <a:ext cx="4276724" cy="2164419"/>
          <a:chOff x="5495926" y="400051"/>
          <a:chExt cx="3790949" cy="2164419"/>
        </a:xfrm>
      </xdr:grpSpPr>
      <xdr:pic>
        <xdr:nvPicPr>
          <xdr:cNvPr id="28" name="Imagen 12">
            <a:extLst>
              <a:ext uri="{FF2B5EF4-FFF2-40B4-BE49-F238E27FC236}">
                <a16:creationId xmlns:a16="http://schemas.microsoft.com/office/drawing/2014/main" id="{AB904422-75A9-4FAD-9B0E-5193B64A255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b="51287"/>
          <a:stretch/>
        </xdr:blipFill>
        <xdr:spPr>
          <a:xfrm flipH="1">
            <a:off x="5495926" y="400051"/>
            <a:ext cx="3724274" cy="1123950"/>
          </a:xfrm>
          <a:prstGeom prst="rect">
            <a:avLst/>
          </a:prstGeom>
        </xdr:spPr>
      </xdr:pic>
      <xdr:pic>
        <xdr:nvPicPr>
          <xdr:cNvPr id="29" name="Imagen 12">
            <a:extLst>
              <a:ext uri="{FF2B5EF4-FFF2-40B4-BE49-F238E27FC236}">
                <a16:creationId xmlns:a16="http://schemas.microsoft.com/office/drawing/2014/main" id="{D55E2C0D-92DA-4F71-ABEB-B6C362C440EB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t="56144"/>
          <a:stretch/>
        </xdr:blipFill>
        <xdr:spPr>
          <a:xfrm>
            <a:off x="5562601" y="1552575"/>
            <a:ext cx="3724274" cy="1011895"/>
          </a:xfrm>
          <a:prstGeom prst="rect">
            <a:avLst/>
          </a:prstGeom>
        </xdr:spPr>
      </xdr:pic>
    </xdr:grpSp>
    <xdr:clientData/>
  </xdr:twoCellAnchor>
  <xdr:twoCellAnchor>
    <xdr:from>
      <xdr:col>20</xdr:col>
      <xdr:colOff>285749</xdr:colOff>
      <xdr:row>1</xdr:row>
      <xdr:rowOff>95250</xdr:rowOff>
    </xdr:from>
    <xdr:to>
      <xdr:col>27</xdr:col>
      <xdr:colOff>209549</xdr:colOff>
      <xdr:row>14</xdr:row>
      <xdr:rowOff>4406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C4536F3B-DD23-47A2-ACBE-7CB9D6C7AC4C}"/>
            </a:ext>
          </a:extLst>
        </xdr:cNvPr>
        <xdr:cNvGrpSpPr/>
      </xdr:nvGrpSpPr>
      <xdr:grpSpPr>
        <a:xfrm>
          <a:off x="12328070" y="285750"/>
          <a:ext cx="4305300" cy="2385656"/>
          <a:chOff x="10887075" y="219075"/>
          <a:chExt cx="4152900" cy="2385656"/>
        </a:xfrm>
      </xdr:grpSpPr>
      <xdr:pic>
        <xdr:nvPicPr>
          <xdr:cNvPr id="31" name="Imagen 13">
            <a:extLst>
              <a:ext uri="{FF2B5EF4-FFF2-40B4-BE49-F238E27FC236}">
                <a16:creationId xmlns:a16="http://schemas.microsoft.com/office/drawing/2014/main" id="{4E6B4F9C-D6F6-4D2D-A762-F8429C23164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/>
          <a:srcRect t="55804"/>
          <a:stretch/>
        </xdr:blipFill>
        <xdr:spPr>
          <a:xfrm>
            <a:off x="10887075" y="1533525"/>
            <a:ext cx="4133850" cy="1071206"/>
          </a:xfrm>
          <a:prstGeom prst="rect">
            <a:avLst/>
          </a:prstGeom>
        </xdr:spPr>
      </xdr:pic>
      <xdr:pic>
        <xdr:nvPicPr>
          <xdr:cNvPr id="32" name="Imagen 13">
            <a:extLst>
              <a:ext uri="{FF2B5EF4-FFF2-40B4-BE49-F238E27FC236}">
                <a16:creationId xmlns:a16="http://schemas.microsoft.com/office/drawing/2014/main" id="{B23981E9-B071-4EE8-895A-207A1711EB9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/>
          <a:srcRect b="46947"/>
          <a:stretch/>
        </xdr:blipFill>
        <xdr:spPr>
          <a:xfrm flipH="1">
            <a:off x="10906125" y="219075"/>
            <a:ext cx="4133850" cy="1285876"/>
          </a:xfrm>
          <a:prstGeom prst="rect">
            <a:avLst/>
          </a:prstGeom>
        </xdr:spPr>
      </xdr:pic>
    </xdr:grpSp>
    <xdr:clientData/>
  </xdr:twoCellAnchor>
  <xdr:oneCellAnchor>
    <xdr:from>
      <xdr:col>2</xdr:col>
      <xdr:colOff>76200</xdr:colOff>
      <xdr:row>0</xdr:row>
      <xdr:rowOff>85725</xdr:rowOff>
    </xdr:from>
    <xdr:ext cx="3943350" cy="2715950"/>
    <xdr:pic>
      <xdr:nvPicPr>
        <xdr:cNvPr id="33" name="Imagen 24">
          <a:extLst>
            <a:ext uri="{FF2B5EF4-FFF2-40B4-BE49-F238E27FC236}">
              <a16:creationId xmlns:a16="http://schemas.microsoft.com/office/drawing/2014/main" id="{B855CD99-D6D1-4E5C-958E-A169F2492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4375" y="85725"/>
          <a:ext cx="3943350" cy="2715950"/>
        </a:xfrm>
        <a:prstGeom prst="rect">
          <a:avLst/>
        </a:prstGeom>
      </xdr:spPr>
    </xdr:pic>
    <xdr:clientData/>
  </xdr:oneCellAnchor>
  <xdr:twoCellAnchor>
    <xdr:from>
      <xdr:col>136</xdr:col>
      <xdr:colOff>247650</xdr:colOff>
      <xdr:row>0</xdr:row>
      <xdr:rowOff>104775</xdr:rowOff>
    </xdr:from>
    <xdr:to>
      <xdr:col>141</xdr:col>
      <xdr:colOff>542925</xdr:colOff>
      <xdr:row>14</xdr:row>
      <xdr:rowOff>96574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1D9274C-A033-415A-A6AF-68A6E8C701AE}"/>
            </a:ext>
          </a:extLst>
        </xdr:cNvPr>
        <xdr:cNvGrpSpPr/>
      </xdr:nvGrpSpPr>
      <xdr:grpSpPr>
        <a:xfrm>
          <a:off x="74705936" y="104775"/>
          <a:ext cx="4078060" cy="2658799"/>
          <a:chOff x="71304150" y="57150"/>
          <a:chExt cx="4086225" cy="2658799"/>
        </a:xfrm>
      </xdr:grpSpPr>
      <xdr:pic>
        <xdr:nvPicPr>
          <xdr:cNvPr id="25" name="Imagen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t="56464"/>
          <a:stretch/>
        </xdr:blipFill>
        <xdr:spPr>
          <a:xfrm>
            <a:off x="71447025" y="1533524"/>
            <a:ext cx="3943350" cy="1182425"/>
          </a:xfrm>
          <a:prstGeom prst="rect">
            <a:avLst/>
          </a:prstGeom>
        </xdr:spPr>
      </xdr:pic>
      <xdr:pic>
        <xdr:nvPicPr>
          <xdr:cNvPr id="34" name="Imagen 24">
            <a:extLst>
              <a:ext uri="{FF2B5EF4-FFF2-40B4-BE49-F238E27FC236}">
                <a16:creationId xmlns:a16="http://schemas.microsoft.com/office/drawing/2014/main" id="{CAE1FD97-959F-44EB-B0B3-D4F91CBEE4C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b="51237"/>
          <a:stretch/>
        </xdr:blipFill>
        <xdr:spPr>
          <a:xfrm flipH="1">
            <a:off x="71304150" y="57150"/>
            <a:ext cx="3943350" cy="131445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57149</xdr:colOff>
      <xdr:row>0</xdr:row>
      <xdr:rowOff>38099</xdr:rowOff>
    </xdr:from>
    <xdr:to>
      <xdr:col>48</xdr:col>
      <xdr:colOff>148246</xdr:colOff>
      <xdr:row>13</xdr:row>
      <xdr:rowOff>149678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30CA1FB-4A47-4E58-B6E8-3B25D3DE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716499" y="38099"/>
          <a:ext cx="4080711" cy="2619375"/>
        </a:xfrm>
        <a:prstGeom prst="rect">
          <a:avLst/>
        </a:prstGeom>
      </xdr:spPr>
    </xdr:pic>
    <xdr:clientData/>
  </xdr:twoCellAnchor>
  <xdr:twoCellAnchor editAs="oneCell">
    <xdr:from>
      <xdr:col>71</xdr:col>
      <xdr:colOff>19050</xdr:colOff>
      <xdr:row>0</xdr:row>
      <xdr:rowOff>95249</xdr:rowOff>
    </xdr:from>
    <xdr:to>
      <xdr:col>78</xdr:col>
      <xdr:colOff>361950</xdr:colOff>
      <xdr:row>14</xdr:row>
      <xdr:rowOff>3565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66BF9D3-75BC-43A1-919D-329304AE4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556575" y="95249"/>
          <a:ext cx="4219575" cy="2616137"/>
        </a:xfrm>
        <a:prstGeom prst="rect">
          <a:avLst/>
        </a:prstGeom>
      </xdr:spPr>
    </xdr:pic>
    <xdr:clientData/>
  </xdr:twoCellAnchor>
  <xdr:twoCellAnchor editAs="oneCell">
    <xdr:from>
      <xdr:col>80</xdr:col>
      <xdr:colOff>209550</xdr:colOff>
      <xdr:row>0</xdr:row>
      <xdr:rowOff>95249</xdr:rowOff>
    </xdr:from>
    <xdr:to>
      <xdr:col>87</xdr:col>
      <xdr:colOff>190499</xdr:colOff>
      <xdr:row>14</xdr:row>
      <xdr:rowOff>54718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3E6B020D-A20A-4E59-86F7-02A555E8D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252400" y="95249"/>
          <a:ext cx="4057650" cy="2664115"/>
        </a:xfrm>
        <a:prstGeom prst="rect">
          <a:avLst/>
        </a:prstGeom>
      </xdr:spPr>
    </xdr:pic>
    <xdr:clientData/>
  </xdr:twoCellAnchor>
  <xdr:oneCellAnchor>
    <xdr:from>
      <xdr:col>89</xdr:col>
      <xdr:colOff>19050</xdr:colOff>
      <xdr:row>0</xdr:row>
      <xdr:rowOff>95249</xdr:rowOff>
    </xdr:from>
    <xdr:ext cx="4219575" cy="2616137"/>
    <xdr:pic>
      <xdr:nvPicPr>
        <xdr:cNvPr id="6" name="Imagen 5">
          <a:extLst>
            <a:ext uri="{FF2B5EF4-FFF2-40B4-BE49-F238E27FC236}">
              <a16:creationId xmlns:a16="http://schemas.microsoft.com/office/drawing/2014/main" id="{E4837F79-C55A-404E-BCED-FCCB94CFF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814875" y="95249"/>
          <a:ext cx="4219575" cy="2616137"/>
        </a:xfrm>
        <a:prstGeom prst="rect">
          <a:avLst/>
        </a:prstGeom>
      </xdr:spPr>
    </xdr:pic>
    <xdr:clientData/>
  </xdr:oneCellAnchor>
  <xdr:oneCellAnchor>
    <xdr:from>
      <xdr:col>98</xdr:col>
      <xdr:colOff>209550</xdr:colOff>
      <xdr:row>0</xdr:row>
      <xdr:rowOff>95249</xdr:rowOff>
    </xdr:from>
    <xdr:ext cx="4057650" cy="2664115"/>
    <xdr:pic>
      <xdr:nvPicPr>
        <xdr:cNvPr id="7" name="Imagen 6">
          <a:extLst>
            <a:ext uri="{FF2B5EF4-FFF2-40B4-BE49-F238E27FC236}">
              <a16:creationId xmlns:a16="http://schemas.microsoft.com/office/drawing/2014/main" id="{67FD9D81-E4B4-414E-AA43-E58D81BA6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7586900" y="95249"/>
          <a:ext cx="4057650" cy="2664115"/>
        </a:xfrm>
        <a:prstGeom prst="rect">
          <a:avLst/>
        </a:prstGeom>
      </xdr:spPr>
    </xdr:pic>
    <xdr:clientData/>
  </xdr:oneCellAnchor>
  <xdr:oneCellAnchor>
    <xdr:from>
      <xdr:col>107</xdr:col>
      <xdr:colOff>19050</xdr:colOff>
      <xdr:row>0</xdr:row>
      <xdr:rowOff>95249</xdr:rowOff>
    </xdr:from>
    <xdr:ext cx="4219575" cy="2616137"/>
    <xdr:pic>
      <xdr:nvPicPr>
        <xdr:cNvPr id="8" name="Imagen 7">
          <a:extLst>
            <a:ext uri="{FF2B5EF4-FFF2-40B4-BE49-F238E27FC236}">
              <a16:creationId xmlns:a16="http://schemas.microsoft.com/office/drawing/2014/main" id="{0CFC2112-B215-413E-ABD3-79B2BA655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092225" y="95249"/>
          <a:ext cx="4219575" cy="2616137"/>
        </a:xfrm>
        <a:prstGeom prst="rect">
          <a:avLst/>
        </a:prstGeom>
      </xdr:spPr>
    </xdr:pic>
    <xdr:clientData/>
  </xdr:oneCellAnchor>
  <xdr:oneCellAnchor>
    <xdr:from>
      <xdr:col>116</xdr:col>
      <xdr:colOff>209550</xdr:colOff>
      <xdr:row>0</xdr:row>
      <xdr:rowOff>95249</xdr:rowOff>
    </xdr:from>
    <xdr:ext cx="4057650" cy="2664115"/>
    <xdr:pic>
      <xdr:nvPicPr>
        <xdr:cNvPr id="9" name="Imagen 8">
          <a:extLst>
            <a:ext uri="{FF2B5EF4-FFF2-40B4-BE49-F238E27FC236}">
              <a16:creationId xmlns:a16="http://schemas.microsoft.com/office/drawing/2014/main" id="{B06561B1-EE75-4F32-8B83-B6C2B8925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835675" y="95249"/>
          <a:ext cx="4057650" cy="2664115"/>
        </a:xfrm>
        <a:prstGeom prst="rect">
          <a:avLst/>
        </a:prstGeom>
      </xdr:spPr>
    </xdr:pic>
    <xdr:clientData/>
  </xdr:oneCellAnchor>
  <xdr:oneCellAnchor>
    <xdr:from>
      <xdr:col>125</xdr:col>
      <xdr:colOff>19050</xdr:colOff>
      <xdr:row>0</xdr:row>
      <xdr:rowOff>95249</xdr:rowOff>
    </xdr:from>
    <xdr:ext cx="4219575" cy="2616137"/>
    <xdr:pic>
      <xdr:nvPicPr>
        <xdr:cNvPr id="10" name="Imagen 9">
          <a:extLst>
            <a:ext uri="{FF2B5EF4-FFF2-40B4-BE49-F238E27FC236}">
              <a16:creationId xmlns:a16="http://schemas.microsoft.com/office/drawing/2014/main" id="{7898292F-5ED4-411A-A2AC-B209FAC73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350525" y="95249"/>
          <a:ext cx="4219575" cy="2616137"/>
        </a:xfrm>
        <a:prstGeom prst="rect">
          <a:avLst/>
        </a:prstGeom>
      </xdr:spPr>
    </xdr:pic>
    <xdr:clientData/>
  </xdr:oneCellAnchor>
  <xdr:oneCellAnchor>
    <xdr:from>
      <xdr:col>133</xdr:col>
      <xdr:colOff>122959</xdr:colOff>
      <xdr:row>0</xdr:row>
      <xdr:rowOff>0</xdr:rowOff>
    </xdr:from>
    <xdr:ext cx="4057650" cy="2664115"/>
    <xdr:pic>
      <xdr:nvPicPr>
        <xdr:cNvPr id="11" name="Imagen 10">
          <a:extLst>
            <a:ext uri="{FF2B5EF4-FFF2-40B4-BE49-F238E27FC236}">
              <a16:creationId xmlns:a16="http://schemas.microsoft.com/office/drawing/2014/main" id="{FBB30903-434B-4B94-8323-8A6A88F44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218550" y="0"/>
          <a:ext cx="4057650" cy="2664115"/>
        </a:xfrm>
        <a:prstGeom prst="rect">
          <a:avLst/>
        </a:prstGeom>
      </xdr:spPr>
    </xdr:pic>
    <xdr:clientData/>
  </xdr:oneCellAnchor>
  <xdr:oneCellAnchor>
    <xdr:from>
      <xdr:col>53</xdr:col>
      <xdr:colOff>85725</xdr:colOff>
      <xdr:row>0</xdr:row>
      <xdr:rowOff>114299</xdr:rowOff>
    </xdr:from>
    <xdr:ext cx="4219575" cy="2616137"/>
    <xdr:pic>
      <xdr:nvPicPr>
        <xdr:cNvPr id="12" name="Imagen 11">
          <a:extLst>
            <a:ext uri="{FF2B5EF4-FFF2-40B4-BE49-F238E27FC236}">
              <a16:creationId xmlns:a16="http://schemas.microsoft.com/office/drawing/2014/main" id="{9A489D21-6A3C-4BE8-8404-3D9652316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460200" y="114299"/>
          <a:ext cx="4219575" cy="2616137"/>
        </a:xfrm>
        <a:prstGeom prst="rect">
          <a:avLst/>
        </a:prstGeom>
      </xdr:spPr>
    </xdr:pic>
    <xdr:clientData/>
  </xdr:oneCellAnchor>
  <xdr:oneCellAnchor>
    <xdr:from>
      <xdr:col>62</xdr:col>
      <xdr:colOff>209550</xdr:colOff>
      <xdr:row>0</xdr:row>
      <xdr:rowOff>95249</xdr:rowOff>
    </xdr:from>
    <xdr:ext cx="4057650" cy="2664115"/>
    <xdr:pic>
      <xdr:nvPicPr>
        <xdr:cNvPr id="13" name="Imagen 12">
          <a:extLst>
            <a:ext uri="{FF2B5EF4-FFF2-40B4-BE49-F238E27FC236}">
              <a16:creationId xmlns:a16="http://schemas.microsoft.com/office/drawing/2014/main" id="{77236523-45B2-4000-A0C8-584B725B6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051250" y="95249"/>
          <a:ext cx="4057650" cy="2664115"/>
        </a:xfrm>
        <a:prstGeom prst="rect">
          <a:avLst/>
        </a:prstGeom>
      </xdr:spPr>
    </xdr:pic>
    <xdr:clientData/>
  </xdr:oneCellAnchor>
  <xdr:oneCellAnchor>
    <xdr:from>
      <xdr:col>143</xdr:col>
      <xdr:colOff>221796</xdr:colOff>
      <xdr:row>0</xdr:row>
      <xdr:rowOff>0</xdr:rowOff>
    </xdr:from>
    <xdr:ext cx="4750253" cy="3271698"/>
    <xdr:pic>
      <xdr:nvPicPr>
        <xdr:cNvPr id="20" name="Imagen 24">
          <a:extLst>
            <a:ext uri="{FF2B5EF4-FFF2-40B4-BE49-F238E27FC236}">
              <a16:creationId xmlns:a16="http://schemas.microsoft.com/office/drawing/2014/main" id="{63708448-E5BE-4EC9-9697-444447A6F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7307621" y="0"/>
          <a:ext cx="4750253" cy="3271698"/>
        </a:xfrm>
        <a:prstGeom prst="rect">
          <a:avLst/>
        </a:prstGeom>
      </xdr:spPr>
    </xdr:pic>
    <xdr:clientData/>
  </xdr:oneCellAnchor>
  <xdr:twoCellAnchor editAs="oneCell">
    <xdr:from>
      <xdr:col>8</xdr:col>
      <xdr:colOff>547008</xdr:colOff>
      <xdr:row>0</xdr:row>
      <xdr:rowOff>172287</xdr:rowOff>
    </xdr:from>
    <xdr:to>
      <xdr:col>16</xdr:col>
      <xdr:colOff>205439</xdr:colOff>
      <xdr:row>8</xdr:row>
      <xdr:rowOff>33564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B8A3AD94-9E39-6B69-4728-6CAC5EE986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b="28951"/>
        <a:stretch/>
      </xdr:blipFill>
      <xdr:spPr>
        <a:xfrm flipH="1">
          <a:off x="4942115" y="172287"/>
          <a:ext cx="5411078" cy="1378927"/>
        </a:xfrm>
        <a:prstGeom prst="rect">
          <a:avLst/>
        </a:prstGeom>
      </xdr:spPr>
    </xdr:pic>
    <xdr:clientData/>
  </xdr:twoCellAnchor>
  <xdr:twoCellAnchor>
    <xdr:from>
      <xdr:col>20</xdr:col>
      <xdr:colOff>17690</xdr:colOff>
      <xdr:row>1</xdr:row>
      <xdr:rowOff>28576</xdr:rowOff>
    </xdr:from>
    <xdr:to>
      <xdr:col>26</xdr:col>
      <xdr:colOff>130628</xdr:colOff>
      <xdr:row>12</xdr:row>
      <xdr:rowOff>124709</xdr:rowOff>
    </xdr:to>
    <xdr:grpSp>
      <xdr:nvGrpSpPr>
        <xdr:cNvPr id="26" name="Group 26">
          <a:extLst>
            <a:ext uri="{FF2B5EF4-FFF2-40B4-BE49-F238E27FC236}">
              <a16:creationId xmlns:a16="http://schemas.microsoft.com/office/drawing/2014/main" id="{55F0FF93-8CEE-980C-7DFA-DEEC5C8A2616}"/>
            </a:ext>
          </a:extLst>
        </xdr:cNvPr>
        <xdr:cNvGrpSpPr/>
      </xdr:nvGrpSpPr>
      <xdr:grpSpPr>
        <a:xfrm>
          <a:off x="12332154" y="219076"/>
          <a:ext cx="3800474" cy="2191633"/>
          <a:chOff x="5495926" y="400051"/>
          <a:chExt cx="3790949" cy="2164419"/>
        </a:xfrm>
      </xdr:grpSpPr>
      <xdr:pic>
        <xdr:nvPicPr>
          <xdr:cNvPr id="27" name="Imagen 12">
            <a:extLst>
              <a:ext uri="{FF2B5EF4-FFF2-40B4-BE49-F238E27FC236}">
                <a16:creationId xmlns:a16="http://schemas.microsoft.com/office/drawing/2014/main" id="{5E356139-03A2-F507-7653-B7AD8DDE42E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/>
          <a:srcRect b="51287"/>
          <a:stretch/>
        </xdr:blipFill>
        <xdr:spPr>
          <a:xfrm flipH="1">
            <a:off x="5495926" y="400051"/>
            <a:ext cx="3724274" cy="1123950"/>
          </a:xfrm>
          <a:prstGeom prst="rect">
            <a:avLst/>
          </a:prstGeom>
        </xdr:spPr>
      </xdr:pic>
      <xdr:pic>
        <xdr:nvPicPr>
          <xdr:cNvPr id="28" name="Imagen 12">
            <a:extLst>
              <a:ext uri="{FF2B5EF4-FFF2-40B4-BE49-F238E27FC236}">
                <a16:creationId xmlns:a16="http://schemas.microsoft.com/office/drawing/2014/main" id="{F70FB782-5811-0440-EE2A-7460464EF20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/>
          <a:srcRect t="56144"/>
          <a:stretch/>
        </xdr:blipFill>
        <xdr:spPr>
          <a:xfrm>
            <a:off x="5562601" y="1552575"/>
            <a:ext cx="3724274" cy="1011895"/>
          </a:xfrm>
          <a:prstGeom prst="rect">
            <a:avLst/>
          </a:prstGeom>
        </xdr:spPr>
      </xdr:pic>
    </xdr:grpSp>
    <xdr:clientData/>
  </xdr:twoCellAnchor>
  <xdr:twoCellAnchor>
    <xdr:from>
      <xdr:col>28</xdr:col>
      <xdr:colOff>340178</xdr:colOff>
      <xdr:row>0</xdr:row>
      <xdr:rowOff>104775</xdr:rowOff>
    </xdr:from>
    <xdr:to>
      <xdr:col>35</xdr:col>
      <xdr:colOff>263978</xdr:colOff>
      <xdr:row>13</xdr:row>
      <xdr:rowOff>54752</xdr:rowOff>
    </xdr:to>
    <xdr:grpSp>
      <xdr:nvGrpSpPr>
        <xdr:cNvPr id="29" name="Group 29">
          <a:extLst>
            <a:ext uri="{FF2B5EF4-FFF2-40B4-BE49-F238E27FC236}">
              <a16:creationId xmlns:a16="http://schemas.microsoft.com/office/drawing/2014/main" id="{C8B812C9-AECE-E692-8F43-895CA91B6D58}"/>
            </a:ext>
          </a:extLst>
        </xdr:cNvPr>
        <xdr:cNvGrpSpPr/>
      </xdr:nvGrpSpPr>
      <xdr:grpSpPr>
        <a:xfrm>
          <a:off x="17226642" y="104775"/>
          <a:ext cx="4155622" cy="2426477"/>
          <a:chOff x="10887075" y="219075"/>
          <a:chExt cx="4152900" cy="2385656"/>
        </a:xfrm>
      </xdr:grpSpPr>
      <xdr:pic>
        <xdr:nvPicPr>
          <xdr:cNvPr id="30" name="Imagen 13">
            <a:extLst>
              <a:ext uri="{FF2B5EF4-FFF2-40B4-BE49-F238E27FC236}">
                <a16:creationId xmlns:a16="http://schemas.microsoft.com/office/drawing/2014/main" id="{1A37BCCB-0AA4-F9A5-7E3B-2681D870996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/>
          <a:srcRect t="55804"/>
          <a:stretch/>
        </xdr:blipFill>
        <xdr:spPr>
          <a:xfrm>
            <a:off x="10887075" y="1533525"/>
            <a:ext cx="4133850" cy="1071206"/>
          </a:xfrm>
          <a:prstGeom prst="rect">
            <a:avLst/>
          </a:prstGeom>
        </xdr:spPr>
      </xdr:pic>
      <xdr:pic>
        <xdr:nvPicPr>
          <xdr:cNvPr id="31" name="Imagen 13">
            <a:extLst>
              <a:ext uri="{FF2B5EF4-FFF2-40B4-BE49-F238E27FC236}">
                <a16:creationId xmlns:a16="http://schemas.microsoft.com/office/drawing/2014/main" id="{328B6F20-E7A9-53B1-A4FA-8DF2A7B6695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/>
          <a:srcRect b="46947"/>
          <a:stretch/>
        </xdr:blipFill>
        <xdr:spPr>
          <a:xfrm flipH="1">
            <a:off x="10906125" y="219075"/>
            <a:ext cx="4133850" cy="1285876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576944</xdr:colOff>
      <xdr:row>7</xdr:row>
      <xdr:rowOff>149677</xdr:rowOff>
    </xdr:from>
    <xdr:to>
      <xdr:col>16</xdr:col>
      <xdr:colOff>232200</xdr:colOff>
      <xdr:row>10</xdr:row>
      <xdr:rowOff>129182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C3E5DB1-3C50-4410-8DE7-AF039B4DD0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t="71610"/>
        <a:stretch/>
      </xdr:blipFill>
      <xdr:spPr>
        <a:xfrm>
          <a:off x="4972051" y="1483177"/>
          <a:ext cx="5411078" cy="551005"/>
        </a:xfrm>
        <a:prstGeom prst="rect">
          <a:avLst/>
        </a:prstGeom>
      </xdr:spPr>
    </xdr:pic>
    <xdr:clientData/>
  </xdr:twoCellAnchor>
  <xdr:oneCellAnchor>
    <xdr:from>
      <xdr:col>144</xdr:col>
      <xdr:colOff>59871</xdr:colOff>
      <xdr:row>0</xdr:row>
      <xdr:rowOff>152400</xdr:rowOff>
    </xdr:from>
    <xdr:ext cx="4750253" cy="3271698"/>
    <xdr:pic>
      <xdr:nvPicPr>
        <xdr:cNvPr id="14" name="Imagen 24">
          <a:extLst>
            <a:ext uri="{FF2B5EF4-FFF2-40B4-BE49-F238E27FC236}">
              <a16:creationId xmlns:a16="http://schemas.microsoft.com/office/drawing/2014/main" id="{575FDEF3-BAFA-483E-A203-0B00AF5A3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7460021" y="152400"/>
          <a:ext cx="4750253" cy="3271698"/>
        </a:xfrm>
        <a:prstGeom prst="rect">
          <a:avLst/>
        </a:prstGeom>
      </xdr:spPr>
    </xdr:pic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ablo Gómez Cerdán" id="{7DF0D50D-45A8-425A-AA62-7FC42DCE560B}" userId="S::pgomezc@talgo.com::b78ec78a-aaed-47d0-befb-003e7778e9ee" providerId="AD"/>
  <person displayName="Velez Felguera, Alberto" id="{A1D74EC1-8A88-4D88-9DE3-1718F3A071FD}" userId="S::alberto.velez-felguera@capgemini.com::870b6d8e-7862-4c8a-ad71-934cb7152325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3" dT="2021-04-06T11:41:29.37" personId="{A1D74EC1-8A88-4D88-9DE3-1718F3A071FD}" id="{ADD18346-0BA1-45E9-946A-F6D8025630A8}">
    <text>Utilizado para las formulas en el cálculo de IPs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J72" dT="2021-09-16T15:48:05.70" personId="{A1D74EC1-8A88-4D88-9DE3-1718F3A071FD}" id="{BBAE85F5-B32A-4DA5-9F25-F03BD4C19BBB}">
    <text>Este puerto no debe proporcionar IP, internamente el MCG enviará trafico en 10.0.53.156 (Wayside) y 10.0.53.166 (TSMART).</text>
  </threadedComment>
  <threadedComment ref="AJ86" dT="2021-10-29T11:56:20.16" personId="{A1D74EC1-8A88-4D88-9DE3-1718F3A071FD}" id="{B00AC055-0F33-4AE3-B052-3F5A5F599FF6}">
    <text>Este puerto no debe proporcionar IP, internamente el MCG enviará trafico en 10.0.53.156 (Wayside) y 10.0.53.166 (TSMART).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R75" dT="2021-09-16T15:48:05.70" personId="{A1D74EC1-8A88-4D88-9DE3-1718F3A071FD}" id="{0FB298B9-1646-472E-9B77-A1F0D327D93D}">
    <text>Este puerto no debe proporcionar IP, internamente el MCG enviará trafico en 10.0.53.156 (Wayside) y 10.0.53.166 (TSMART).</text>
  </threadedComment>
  <threadedComment ref="F80" dT="2025-09-16T10:06:15.44" personId="{7DF0D50D-45A8-425A-AA62-7FC42DCE560B}" id="{C8C3104F-70B5-4E21-98EB-944F43198AFD}">
    <text>Está hecho asi para mantener compatibilidad con ips de DSB1</text>
  </threadedComment>
  <threadedComment ref="F81" dT="2025-09-16T10:05:57.89" personId="{7DF0D50D-45A8-425A-AA62-7FC42DCE560B}" id="{3925FFC1-B805-4F44-9038-F29143B9086B}">
    <text>Está hecho asi para mantener compatibilidad con ips de DSB1</text>
  </threadedComment>
  <threadedComment ref="F88" dT="2025-09-16T10:07:26.54" personId="{7DF0D50D-45A8-425A-AA62-7FC42DCE560B}" id="{EE0A0552-D59B-44B6-BD8C-A977EE48D0D6}">
    <text>Está hecho asi para mantener compatibilidad con ips de DSB1</text>
  </threadedComment>
  <threadedComment ref="AR89" dT="2021-10-29T11:56:20.16" personId="{A1D74EC1-8A88-4D88-9DE3-1718F3A071FD}" id="{A4BC3DFE-073F-4BF4-892A-6A7D96CEB8A6}">
    <text>Este puerto no debe proporcionar IP, internamente el MCG enviará trafico en 10.0.53.156 (Wayside) y 10.0.53.166 (TSMART).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B1:M31"/>
  <sheetViews>
    <sheetView topLeftCell="A18" workbookViewId="0">
      <selection activeCell="I26" sqref="I26"/>
    </sheetView>
  </sheetViews>
  <sheetFormatPr baseColWidth="10" defaultColWidth="11.42578125" defaultRowHeight="15"/>
  <cols>
    <col min="1" max="1" width="11.5703125"/>
    <col min="5" max="9" width="13.42578125" customWidth="1"/>
  </cols>
  <sheetData>
    <row r="1" spans="2:13">
      <c r="B1" s="51"/>
      <c r="C1" s="51"/>
    </row>
    <row r="2" spans="2:13">
      <c r="B2" s="51"/>
      <c r="C2" s="51"/>
    </row>
    <row r="3" spans="2:13">
      <c r="B3" s="51"/>
      <c r="C3" s="51"/>
    </row>
    <row r="4" spans="2:13">
      <c r="B4" s="51"/>
      <c r="C4" s="51"/>
    </row>
    <row r="5" spans="2:13">
      <c r="B5" s="51"/>
      <c r="C5" s="51"/>
    </row>
    <row r="6" spans="2:13">
      <c r="B6" s="51"/>
      <c r="C6" s="51"/>
    </row>
    <row r="7" spans="2:13" ht="21">
      <c r="B7" s="279" t="s">
        <v>0</v>
      </c>
      <c r="C7" s="279"/>
      <c r="D7" s="279"/>
      <c r="E7" s="279"/>
      <c r="F7" s="279"/>
      <c r="G7" s="279"/>
      <c r="H7" s="279"/>
      <c r="I7" s="279"/>
      <c r="J7" s="279"/>
      <c r="K7" s="279"/>
      <c r="L7" s="279"/>
      <c r="M7" s="279"/>
    </row>
    <row r="8" spans="2:13" ht="21">
      <c r="B8" s="52"/>
      <c r="C8" s="52"/>
      <c r="D8" s="53"/>
      <c r="E8" s="53"/>
      <c r="F8" s="53"/>
      <c r="G8" s="53"/>
      <c r="H8" s="53"/>
      <c r="I8" s="53"/>
      <c r="J8" s="53"/>
      <c r="K8" s="53"/>
      <c r="L8" s="53"/>
      <c r="M8" s="53"/>
    </row>
    <row r="9" spans="2:13" ht="21">
      <c r="B9" s="279" t="s">
        <v>1</v>
      </c>
      <c r="C9" s="279"/>
      <c r="D9" s="279"/>
      <c r="E9" s="279"/>
      <c r="F9" s="279"/>
      <c r="G9" s="279"/>
      <c r="H9" s="279"/>
      <c r="I9" s="279"/>
      <c r="J9" s="279"/>
      <c r="K9" s="279"/>
      <c r="L9" s="279"/>
      <c r="M9" s="279"/>
    </row>
    <row r="10" spans="2:13" ht="21">
      <c r="B10" s="52"/>
      <c r="C10" s="52"/>
      <c r="D10" s="53"/>
      <c r="E10" s="53"/>
      <c r="F10" s="53"/>
      <c r="G10" s="53"/>
      <c r="H10" s="53"/>
      <c r="I10" s="53"/>
      <c r="J10" s="53"/>
      <c r="K10" s="53"/>
      <c r="L10" s="53"/>
      <c r="M10" s="53"/>
    </row>
    <row r="11" spans="2:13" ht="21">
      <c r="B11" s="279" t="s">
        <v>2</v>
      </c>
      <c r="C11" s="279"/>
      <c r="D11" s="279"/>
      <c r="E11" s="279"/>
      <c r="F11" s="279"/>
      <c r="G11" s="279"/>
      <c r="H11" s="279"/>
      <c r="I11" s="279"/>
      <c r="J11" s="279"/>
      <c r="K11" s="279"/>
      <c r="L11" s="279"/>
      <c r="M11" s="279"/>
    </row>
    <row r="12" spans="2:13">
      <c r="B12" s="51"/>
      <c r="C12" s="51"/>
    </row>
    <row r="13" spans="2:13" ht="15.75" thickBot="1">
      <c r="B13" s="51"/>
      <c r="C13" s="51"/>
    </row>
    <row r="14" spans="2:13" ht="15.75" thickBot="1">
      <c r="B14" s="257" t="s">
        <v>3</v>
      </c>
      <c r="C14" s="262" t="s">
        <v>4</v>
      </c>
      <c r="D14" s="262" t="s">
        <v>5</v>
      </c>
      <c r="E14" s="280" t="s">
        <v>6</v>
      </c>
      <c r="F14" s="280"/>
      <c r="G14" s="280"/>
      <c r="H14" s="280"/>
      <c r="I14" s="281"/>
    </row>
    <row r="15" spans="2:13" ht="15.75" thickBot="1">
      <c r="B15" s="258" t="s">
        <v>7</v>
      </c>
      <c r="C15" s="263">
        <v>44264</v>
      </c>
      <c r="D15" s="267" t="s">
        <v>8</v>
      </c>
      <c r="E15" s="275" t="s">
        <v>9</v>
      </c>
      <c r="F15" s="275"/>
      <c r="G15" s="275"/>
      <c r="H15" s="275"/>
      <c r="I15" s="276"/>
    </row>
    <row r="16" spans="2:13" ht="15.75" thickBot="1">
      <c r="B16" s="259" t="s">
        <v>10</v>
      </c>
      <c r="C16" s="264">
        <v>44292</v>
      </c>
      <c r="D16" s="267" t="s">
        <v>8</v>
      </c>
      <c r="E16" s="277" t="s">
        <v>11</v>
      </c>
      <c r="F16" s="277"/>
      <c r="G16" s="277"/>
      <c r="H16" s="277"/>
      <c r="I16" s="278"/>
    </row>
    <row r="17" spans="2:13" ht="45" customHeight="1" thickBot="1">
      <c r="B17" s="260" t="s">
        <v>12</v>
      </c>
      <c r="C17" s="265">
        <v>44293</v>
      </c>
      <c r="D17" s="268" t="s">
        <v>8</v>
      </c>
      <c r="E17" s="277" t="s">
        <v>13</v>
      </c>
      <c r="F17" s="277"/>
      <c r="G17" s="277"/>
      <c r="H17" s="277"/>
      <c r="I17" s="278"/>
      <c r="J17" s="54"/>
      <c r="K17" s="54"/>
      <c r="L17" s="54"/>
      <c r="M17" s="54"/>
    </row>
    <row r="18" spans="2:13" ht="51" customHeight="1" thickBot="1">
      <c r="B18" s="259" t="s">
        <v>14</v>
      </c>
      <c r="C18" s="264"/>
      <c r="D18" s="267"/>
      <c r="E18" s="277" t="s">
        <v>15</v>
      </c>
      <c r="F18" s="277"/>
      <c r="G18" s="277"/>
      <c r="H18" s="277"/>
      <c r="I18" s="278"/>
    </row>
    <row r="19" spans="2:13" ht="15.75" thickBot="1">
      <c r="B19" s="259" t="s">
        <v>16</v>
      </c>
      <c r="C19" s="264"/>
      <c r="D19" s="267"/>
      <c r="E19" s="277" t="s">
        <v>17</v>
      </c>
      <c r="F19" s="277"/>
      <c r="G19" s="277"/>
      <c r="H19" s="277"/>
      <c r="I19" s="278"/>
    </row>
    <row r="20" spans="2:13" ht="15.75" thickBot="1">
      <c r="B20" s="259" t="s">
        <v>18</v>
      </c>
      <c r="C20" s="264"/>
      <c r="D20" s="269"/>
      <c r="E20" s="277" t="s">
        <v>19</v>
      </c>
      <c r="F20" s="277"/>
      <c r="G20" s="277"/>
      <c r="H20" s="277"/>
      <c r="I20" s="278"/>
    </row>
    <row r="21" spans="2:13" ht="15.75" thickBot="1">
      <c r="B21" s="261" t="s">
        <v>20</v>
      </c>
      <c r="C21" s="266"/>
      <c r="D21" s="270"/>
      <c r="E21" s="285" t="s">
        <v>21</v>
      </c>
      <c r="F21" s="285"/>
      <c r="G21" s="285"/>
      <c r="H21" s="285"/>
      <c r="I21" s="286"/>
    </row>
    <row r="22" spans="2:13" ht="15.75" thickBot="1">
      <c r="B22" s="259" t="s">
        <v>365</v>
      </c>
      <c r="C22" s="19"/>
      <c r="D22" s="19"/>
      <c r="E22" s="275" t="s">
        <v>364</v>
      </c>
      <c r="F22" s="275"/>
      <c r="G22" s="275"/>
      <c r="H22" s="275"/>
      <c r="I22" s="276"/>
    </row>
    <row r="23" spans="2:13">
      <c r="B23" s="282" t="s">
        <v>498</v>
      </c>
      <c r="C23" s="177"/>
      <c r="D23" s="177"/>
      <c r="E23" s="233" t="s">
        <v>378</v>
      </c>
      <c r="F23" s="233"/>
      <c r="G23" s="233"/>
      <c r="H23" s="233"/>
      <c r="I23" s="256"/>
    </row>
    <row r="24" spans="2:13">
      <c r="B24" s="283"/>
      <c r="C24" s="178"/>
      <c r="D24" s="178"/>
      <c r="E24" t="s">
        <v>379</v>
      </c>
      <c r="I24" s="100"/>
    </row>
    <row r="25" spans="2:13" ht="15.75" thickBot="1">
      <c r="B25" s="284"/>
      <c r="C25" s="166"/>
      <c r="D25" s="166"/>
      <c r="E25" s="167" t="s">
        <v>381</v>
      </c>
      <c r="F25" s="167"/>
      <c r="G25" s="167"/>
      <c r="H25" s="167"/>
      <c r="I25" s="164"/>
    </row>
    <row r="26" spans="2:13" ht="15.75" thickBot="1">
      <c r="B26" s="258" t="s">
        <v>499</v>
      </c>
      <c r="C26" s="273">
        <v>45525</v>
      </c>
      <c r="D26" s="272"/>
      <c r="E26" s="271" t="s">
        <v>497</v>
      </c>
      <c r="F26" s="272"/>
      <c r="G26" s="272"/>
      <c r="H26" s="272"/>
      <c r="I26" s="171"/>
    </row>
    <row r="27" spans="2:13" ht="15.75" thickBot="1">
      <c r="B27" s="258" t="s">
        <v>504</v>
      </c>
      <c r="C27" s="273">
        <v>45803</v>
      </c>
      <c r="D27" s="272"/>
      <c r="E27" s="271" t="s">
        <v>505</v>
      </c>
      <c r="F27" s="272"/>
      <c r="G27" s="272"/>
      <c r="H27" s="272"/>
      <c r="I27" s="171"/>
    </row>
    <row r="28" spans="2:13" ht="15.75" thickBot="1">
      <c r="B28" s="258">
        <v>11</v>
      </c>
      <c r="C28" s="273">
        <v>45846</v>
      </c>
      <c r="D28" s="272"/>
      <c r="E28" s="274" t="s">
        <v>509</v>
      </c>
      <c r="F28" s="275"/>
      <c r="G28" s="275"/>
      <c r="H28" s="275"/>
      <c r="I28" s="276"/>
    </row>
    <row r="29" spans="2:13" ht="15.75" thickBot="1">
      <c r="B29" s="258" t="s">
        <v>136</v>
      </c>
      <c r="C29" s="273">
        <v>45908</v>
      </c>
      <c r="D29" s="272"/>
      <c r="E29" s="274" t="s">
        <v>510</v>
      </c>
      <c r="F29" s="275"/>
      <c r="G29" s="275"/>
      <c r="H29" s="275"/>
      <c r="I29" s="276"/>
    </row>
    <row r="30" spans="2:13" ht="15.75" thickBot="1">
      <c r="B30" s="258" t="s">
        <v>142</v>
      </c>
      <c r="C30" s="273">
        <v>45908</v>
      </c>
      <c r="D30" s="272"/>
      <c r="E30" s="274" t="s">
        <v>511</v>
      </c>
      <c r="F30" s="275"/>
      <c r="G30" s="275"/>
      <c r="H30" s="275"/>
      <c r="I30" s="276"/>
    </row>
    <row r="31" spans="2:13" ht="15.75" thickBot="1">
      <c r="B31" s="258" t="s">
        <v>512</v>
      </c>
      <c r="C31" s="273">
        <v>45944</v>
      </c>
      <c r="D31" s="272"/>
      <c r="E31" s="274" t="s">
        <v>513</v>
      </c>
      <c r="F31" s="275"/>
      <c r="G31" s="275"/>
      <c r="H31" s="275"/>
      <c r="I31" s="276"/>
    </row>
  </sheetData>
  <mergeCells count="17">
    <mergeCell ref="B23:B25"/>
    <mergeCell ref="E22:I22"/>
    <mergeCell ref="E21:I21"/>
    <mergeCell ref="E17:I17"/>
    <mergeCell ref="E18:I18"/>
    <mergeCell ref="E19:I19"/>
    <mergeCell ref="E20:I20"/>
    <mergeCell ref="B7:M7"/>
    <mergeCell ref="B9:M9"/>
    <mergeCell ref="B11:M11"/>
    <mergeCell ref="E14:I14"/>
    <mergeCell ref="E15:I15"/>
    <mergeCell ref="E31:I31"/>
    <mergeCell ref="E30:I30"/>
    <mergeCell ref="E29:I29"/>
    <mergeCell ref="E28:I28"/>
    <mergeCell ref="E16:I16"/>
  </mergeCells>
  <phoneticPr fontId="16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ADDBF-4F20-44EE-9075-E02DCE785EAA}">
  <sheetPr codeName="Sheet1"/>
  <dimension ref="A5:V10"/>
  <sheetViews>
    <sheetView workbookViewId="0">
      <selection activeCell="F14" sqref="F14"/>
    </sheetView>
  </sheetViews>
  <sheetFormatPr baseColWidth="10" defaultColWidth="9.140625" defaultRowHeight="15"/>
  <cols>
    <col min="4" max="4" width="10.85546875" customWidth="1"/>
    <col min="5" max="5" width="11.42578125" customWidth="1"/>
  </cols>
  <sheetData>
    <row r="5" spans="1:22">
      <c r="A5" s="163"/>
      <c r="B5" s="163" t="s">
        <v>22</v>
      </c>
      <c r="C5" s="163" t="s">
        <v>23</v>
      </c>
      <c r="D5" s="163" t="s">
        <v>24</v>
      </c>
      <c r="E5" s="163" t="s">
        <v>25</v>
      </c>
      <c r="F5" s="163" t="s">
        <v>26</v>
      </c>
      <c r="G5" s="163" t="s">
        <v>27</v>
      </c>
      <c r="H5" s="163" t="s">
        <v>28</v>
      </c>
      <c r="I5" s="163" t="s">
        <v>29</v>
      </c>
      <c r="J5" s="163" t="s">
        <v>30</v>
      </c>
      <c r="K5" s="163" t="s">
        <v>31</v>
      </c>
      <c r="L5" s="163" t="s">
        <v>32</v>
      </c>
      <c r="M5" s="163" t="s">
        <v>33</v>
      </c>
      <c r="N5" s="163" t="s">
        <v>34</v>
      </c>
      <c r="O5" s="163" t="s">
        <v>35</v>
      </c>
      <c r="P5" s="163" t="s">
        <v>36</v>
      </c>
      <c r="Q5" s="163" t="s">
        <v>37</v>
      </c>
      <c r="R5" s="163" t="s">
        <v>38</v>
      </c>
      <c r="S5" s="163" t="s">
        <v>39</v>
      </c>
      <c r="T5" s="163" t="s">
        <v>40</v>
      </c>
      <c r="U5" s="163" t="s">
        <v>41</v>
      </c>
      <c r="V5" s="163" t="s">
        <v>42</v>
      </c>
    </row>
    <row r="6" spans="1:22">
      <c r="A6" s="163" t="s">
        <v>43</v>
      </c>
      <c r="B6" s="163" t="s">
        <v>44</v>
      </c>
      <c r="C6" s="163"/>
      <c r="D6" s="163"/>
      <c r="E6" s="163"/>
      <c r="F6" s="163"/>
      <c r="G6" s="163"/>
      <c r="H6" s="163"/>
      <c r="I6" s="163"/>
      <c r="J6" s="163" t="s">
        <v>44</v>
      </c>
      <c r="K6" s="163"/>
      <c r="L6" s="163" t="s">
        <v>44</v>
      </c>
      <c r="M6" s="163"/>
      <c r="N6" s="163" t="s">
        <v>44</v>
      </c>
      <c r="O6" s="163"/>
      <c r="P6" s="163" t="s">
        <v>44</v>
      </c>
      <c r="Q6" s="163"/>
      <c r="R6" s="163" t="s">
        <v>44</v>
      </c>
      <c r="S6" s="163"/>
      <c r="T6" s="163" t="s">
        <v>44</v>
      </c>
      <c r="U6" s="163"/>
      <c r="V6" s="163" t="s">
        <v>44</v>
      </c>
    </row>
    <row r="7" spans="1:22">
      <c r="A7" s="163" t="s">
        <v>45</v>
      </c>
      <c r="B7" s="163"/>
      <c r="C7" s="163" t="s">
        <v>44</v>
      </c>
      <c r="D7" s="163"/>
      <c r="E7" s="163" t="s">
        <v>44</v>
      </c>
      <c r="F7" s="163"/>
      <c r="G7" s="163" t="s">
        <v>44</v>
      </c>
      <c r="H7" s="163"/>
      <c r="I7" s="163" t="s">
        <v>44</v>
      </c>
      <c r="J7" s="163"/>
      <c r="K7" s="163" t="s">
        <v>44</v>
      </c>
      <c r="L7" s="163"/>
      <c r="M7" s="163" t="s">
        <v>44</v>
      </c>
      <c r="N7" s="163"/>
      <c r="O7" s="163" t="s">
        <v>44</v>
      </c>
      <c r="P7" s="163"/>
      <c r="Q7" s="163" t="s">
        <v>44</v>
      </c>
      <c r="R7" s="163"/>
      <c r="S7" s="163" t="s">
        <v>44</v>
      </c>
      <c r="T7" s="163"/>
      <c r="U7" s="163" t="s">
        <v>44</v>
      </c>
      <c r="V7" s="163"/>
    </row>
    <row r="8" spans="1:22">
      <c r="A8" s="163" t="s">
        <v>46</v>
      </c>
      <c r="B8" s="163"/>
      <c r="C8" s="163"/>
      <c r="D8" s="163" t="s">
        <v>44</v>
      </c>
      <c r="E8" s="163"/>
      <c r="F8" s="163" t="s">
        <v>44</v>
      </c>
      <c r="G8" s="163"/>
      <c r="H8" s="163" t="s">
        <v>44</v>
      </c>
      <c r="I8" s="163"/>
      <c r="J8" s="163" t="s">
        <v>44</v>
      </c>
      <c r="K8" s="163"/>
      <c r="L8" s="163" t="s">
        <v>44</v>
      </c>
      <c r="M8" s="163"/>
      <c r="N8" s="163" t="s">
        <v>44</v>
      </c>
      <c r="O8" s="163"/>
      <c r="P8" s="163" t="s">
        <v>44</v>
      </c>
      <c r="Q8" s="163"/>
      <c r="R8" s="163" t="s">
        <v>44</v>
      </c>
      <c r="S8" s="163"/>
      <c r="T8" s="163" t="s">
        <v>44</v>
      </c>
      <c r="U8" s="163"/>
      <c r="V8" s="163"/>
    </row>
    <row r="9" spans="1:22">
      <c r="A9" s="163" t="s">
        <v>47</v>
      </c>
      <c r="B9" s="163"/>
      <c r="C9" s="163"/>
      <c r="D9" s="163"/>
      <c r="E9" s="163" t="s">
        <v>44</v>
      </c>
      <c r="F9" s="163"/>
      <c r="G9" s="163" t="s">
        <v>44</v>
      </c>
      <c r="H9" s="163"/>
      <c r="I9" s="163" t="s">
        <v>44</v>
      </c>
      <c r="J9" s="163"/>
      <c r="K9" s="163" t="s">
        <v>44</v>
      </c>
      <c r="L9" s="163"/>
      <c r="M9" s="163" t="s">
        <v>44</v>
      </c>
      <c r="N9" s="163"/>
      <c r="O9" s="163" t="s">
        <v>44</v>
      </c>
      <c r="P9" s="163"/>
      <c r="Q9" s="163" t="s">
        <v>44</v>
      </c>
      <c r="R9" s="163"/>
      <c r="S9" s="163" t="s">
        <v>44</v>
      </c>
      <c r="T9" s="163"/>
      <c r="U9" s="163"/>
      <c r="V9" s="163"/>
    </row>
    <row r="10" spans="1:22">
      <c r="A10" s="163" t="s">
        <v>503</v>
      </c>
      <c r="B10" s="163" t="s">
        <v>44</v>
      </c>
      <c r="C10" s="163"/>
      <c r="D10" s="163"/>
      <c r="E10" s="163"/>
      <c r="F10" s="163"/>
      <c r="G10" s="163"/>
      <c r="H10" s="163"/>
      <c r="I10" s="163"/>
      <c r="J10" s="163" t="s">
        <v>44</v>
      </c>
      <c r="K10" s="163"/>
      <c r="L10" s="163" t="s">
        <v>44</v>
      </c>
      <c r="M10" s="163"/>
      <c r="N10" s="163" t="s">
        <v>44</v>
      </c>
      <c r="O10" s="163"/>
      <c r="P10" s="163" t="s">
        <v>44</v>
      </c>
      <c r="Q10" s="163"/>
      <c r="R10" s="163" t="s">
        <v>44</v>
      </c>
      <c r="S10" s="163"/>
      <c r="T10" s="163" t="s">
        <v>44</v>
      </c>
      <c r="U10" s="163"/>
      <c r="V10" s="163" t="s">
        <v>44</v>
      </c>
    </row>
  </sheetData>
  <phoneticPr fontId="1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07D03-96C0-4046-9C45-DDD1A3607DCD}">
  <sheetPr codeName="Sheet2"/>
  <dimension ref="A1:K67"/>
  <sheetViews>
    <sheetView workbookViewId="0">
      <selection activeCell="C59" sqref="C59:C60"/>
    </sheetView>
  </sheetViews>
  <sheetFormatPr baseColWidth="10" defaultColWidth="9.140625" defaultRowHeight="15"/>
  <cols>
    <col min="1" max="1" width="18.28515625" style="51" customWidth="1"/>
    <col min="2" max="2" width="9.7109375" customWidth="1"/>
    <col min="3" max="3" width="19.85546875" customWidth="1"/>
    <col min="4" max="4" width="13.85546875" bestFit="1" customWidth="1"/>
    <col min="5" max="5" width="13" customWidth="1"/>
    <col min="6" max="6" width="14.5703125" customWidth="1"/>
    <col min="7" max="7" width="76.5703125" style="158" customWidth="1"/>
    <col min="8" max="8" width="51.28515625" bestFit="1" customWidth="1"/>
    <col min="11" max="11" width="55.28515625" customWidth="1"/>
  </cols>
  <sheetData>
    <row r="1" spans="1:11" s="160" customFormat="1" ht="29.25" customHeight="1">
      <c r="A1" s="161" t="s">
        <v>48</v>
      </c>
      <c r="B1" s="161" t="s">
        <v>49</v>
      </c>
      <c r="C1" s="161" t="s">
        <v>50</v>
      </c>
      <c r="D1" s="161"/>
      <c r="E1" s="161" t="s">
        <v>51</v>
      </c>
      <c r="F1" s="161" t="s">
        <v>52</v>
      </c>
      <c r="G1" s="159" t="s">
        <v>53</v>
      </c>
      <c r="H1" s="160" t="s">
        <v>54</v>
      </c>
      <c r="K1" t="s">
        <v>55</v>
      </c>
    </row>
    <row r="2" spans="1:11" ht="15" customHeight="1">
      <c r="A2" s="297" t="s">
        <v>56</v>
      </c>
      <c r="B2" s="1">
        <v>15</v>
      </c>
      <c r="C2" s="1" t="s">
        <v>57</v>
      </c>
      <c r="D2" s="1" t="s">
        <v>369</v>
      </c>
      <c r="E2" s="1">
        <v>15</v>
      </c>
      <c r="F2" s="1" t="s">
        <v>58</v>
      </c>
      <c r="G2" s="158" t="s">
        <v>59</v>
      </c>
      <c r="K2" t="s">
        <v>60</v>
      </c>
    </row>
    <row r="3" spans="1:11" ht="15" customHeight="1">
      <c r="A3" s="298"/>
      <c r="B3" s="1">
        <v>15</v>
      </c>
      <c r="C3" s="1" t="s">
        <v>61</v>
      </c>
      <c r="D3" s="1" t="s">
        <v>366</v>
      </c>
      <c r="E3" s="1">
        <v>16</v>
      </c>
      <c r="F3" s="1"/>
      <c r="G3" s="158" t="s">
        <v>62</v>
      </c>
      <c r="K3" t="s">
        <v>63</v>
      </c>
    </row>
    <row r="4" spans="1:11" ht="15" customHeight="1">
      <c r="A4" s="298"/>
      <c r="B4" s="1">
        <v>15</v>
      </c>
      <c r="C4" s="1" t="s">
        <v>64</v>
      </c>
      <c r="D4" s="1" t="s">
        <v>366</v>
      </c>
      <c r="E4" s="1">
        <v>15</v>
      </c>
      <c r="F4" s="1" t="s">
        <v>65</v>
      </c>
      <c r="G4" s="158" t="s">
        <v>62</v>
      </c>
      <c r="H4" s="84" t="s">
        <v>66</v>
      </c>
    </row>
    <row r="5" spans="1:11" ht="15" customHeight="1">
      <c r="A5" s="299"/>
      <c r="B5" s="1">
        <v>15</v>
      </c>
      <c r="C5" s="1" t="s">
        <v>67</v>
      </c>
      <c r="D5" s="1" t="s">
        <v>366</v>
      </c>
      <c r="E5" s="1">
        <v>17</v>
      </c>
      <c r="F5" s="1"/>
      <c r="G5" s="158" t="s">
        <v>68</v>
      </c>
      <c r="H5" t="s">
        <v>69</v>
      </c>
    </row>
    <row r="6" spans="1:11" ht="15" customHeight="1">
      <c r="A6" s="297" t="s">
        <v>57</v>
      </c>
      <c r="B6" s="1">
        <v>15</v>
      </c>
      <c r="C6" s="1" t="s">
        <v>56</v>
      </c>
      <c r="D6" s="1" t="s">
        <v>366</v>
      </c>
      <c r="E6" s="1">
        <v>15</v>
      </c>
      <c r="F6" s="1" t="s">
        <v>58</v>
      </c>
      <c r="G6" s="158" t="s">
        <v>59</v>
      </c>
    </row>
    <row r="7" spans="1:11" ht="15" customHeight="1">
      <c r="A7" s="298"/>
      <c r="B7" s="1">
        <v>15</v>
      </c>
      <c r="C7" s="1" t="s">
        <v>64</v>
      </c>
      <c r="D7" s="1" t="s">
        <v>366</v>
      </c>
      <c r="E7" s="1">
        <v>15</v>
      </c>
      <c r="F7" s="1"/>
      <c r="G7" s="158" t="s">
        <v>70</v>
      </c>
    </row>
    <row r="8" spans="1:11" ht="15" customHeight="1">
      <c r="A8" s="298"/>
      <c r="B8" s="1">
        <v>15</v>
      </c>
      <c r="C8" s="1" t="s">
        <v>61</v>
      </c>
      <c r="D8" s="1" t="s">
        <v>366</v>
      </c>
      <c r="E8" s="1">
        <v>16</v>
      </c>
      <c r="F8" s="1"/>
      <c r="G8" s="158" t="s">
        <v>71</v>
      </c>
    </row>
    <row r="9" spans="1:11">
      <c r="A9" s="298"/>
      <c r="B9" s="1">
        <v>15</v>
      </c>
      <c r="C9" s="1" t="s">
        <v>72</v>
      </c>
      <c r="D9" s="1" t="s">
        <v>367</v>
      </c>
      <c r="E9" s="1">
        <v>11</v>
      </c>
      <c r="F9" s="1" t="s">
        <v>73</v>
      </c>
      <c r="G9" s="158" t="s">
        <v>74</v>
      </c>
    </row>
    <row r="10" spans="1:11" ht="15" customHeight="1">
      <c r="A10" s="298"/>
      <c r="B10" s="1">
        <v>15</v>
      </c>
      <c r="C10" s="1" t="s">
        <v>352</v>
      </c>
      <c r="D10" s="1" t="s">
        <v>368</v>
      </c>
      <c r="E10" s="1">
        <v>12</v>
      </c>
      <c r="F10" s="1" t="s">
        <v>73</v>
      </c>
      <c r="G10" s="158" t="s">
        <v>75</v>
      </c>
    </row>
    <row r="11" spans="1:11" ht="15" customHeight="1">
      <c r="A11" s="299"/>
      <c r="B11" s="1">
        <v>15</v>
      </c>
      <c r="C11" s="1" t="s">
        <v>67</v>
      </c>
      <c r="D11" s="1" t="s">
        <v>366</v>
      </c>
      <c r="E11" s="1">
        <v>1</v>
      </c>
      <c r="F11" s="1"/>
      <c r="G11" s="158" t="s">
        <v>76</v>
      </c>
    </row>
    <row r="12" spans="1:11" ht="15" customHeight="1">
      <c r="A12" s="297" t="s">
        <v>64</v>
      </c>
      <c r="B12" s="1">
        <v>17</v>
      </c>
      <c r="C12" s="1" t="s">
        <v>57</v>
      </c>
      <c r="D12" s="1" t="s">
        <v>366</v>
      </c>
      <c r="E12" s="1">
        <v>15</v>
      </c>
      <c r="F12" s="1"/>
      <c r="G12" s="158" t="s">
        <v>77</v>
      </c>
    </row>
    <row r="13" spans="1:11" ht="15" customHeight="1">
      <c r="A13" s="298"/>
      <c r="B13" s="1">
        <v>17</v>
      </c>
      <c r="C13" s="1" t="s">
        <v>56</v>
      </c>
      <c r="D13" s="1" t="s">
        <v>366</v>
      </c>
      <c r="E13" s="1">
        <v>15</v>
      </c>
      <c r="F13" s="1" t="s">
        <v>58</v>
      </c>
      <c r="G13" s="158" t="s">
        <v>78</v>
      </c>
    </row>
    <row r="14" spans="1:11" ht="15" customHeight="1">
      <c r="A14" s="298"/>
      <c r="B14" s="1">
        <v>17</v>
      </c>
      <c r="C14" s="1" t="s">
        <v>352</v>
      </c>
      <c r="D14" s="1" t="s">
        <v>368</v>
      </c>
      <c r="E14" s="1">
        <v>12</v>
      </c>
      <c r="F14" s="1"/>
      <c r="G14" s="158" t="s">
        <v>75</v>
      </c>
    </row>
    <row r="15" spans="1:11" ht="15" customHeight="1">
      <c r="A15" s="299"/>
      <c r="B15" s="1">
        <v>17</v>
      </c>
      <c r="C15" s="1" t="s">
        <v>67</v>
      </c>
      <c r="D15" s="1" t="s">
        <v>366</v>
      </c>
      <c r="E15" s="1">
        <v>1</v>
      </c>
      <c r="F15" s="1"/>
      <c r="G15" s="158" t="s">
        <v>76</v>
      </c>
    </row>
    <row r="16" spans="1:11" ht="15" customHeight="1">
      <c r="A16" s="162" t="s">
        <v>79</v>
      </c>
      <c r="B16" s="1">
        <v>17</v>
      </c>
      <c r="C16" s="1" t="s">
        <v>80</v>
      </c>
      <c r="D16" s="1" t="s">
        <v>369</v>
      </c>
      <c r="E16" s="1">
        <v>15</v>
      </c>
      <c r="F16" s="1" t="s">
        <v>73</v>
      </c>
      <c r="G16" s="158" t="s">
        <v>81</v>
      </c>
    </row>
    <row r="17" spans="1:8" ht="15" customHeight="1">
      <c r="A17" s="300" t="s">
        <v>80</v>
      </c>
      <c r="B17" s="1">
        <v>15</v>
      </c>
      <c r="C17" s="1" t="s">
        <v>79</v>
      </c>
      <c r="D17" t="s">
        <v>372</v>
      </c>
      <c r="E17" s="1">
        <v>17</v>
      </c>
      <c r="F17" s="1" t="s">
        <v>82</v>
      </c>
      <c r="G17" s="158" t="s">
        <v>83</v>
      </c>
    </row>
    <row r="18" spans="1:8" ht="15" customHeight="1">
      <c r="A18" s="300"/>
      <c r="B18" s="1">
        <v>15</v>
      </c>
      <c r="C18" s="1" t="s">
        <v>84</v>
      </c>
      <c r="D18" s="1" t="s">
        <v>366</v>
      </c>
      <c r="E18" s="1">
        <v>17</v>
      </c>
      <c r="F18" s="1"/>
      <c r="G18" s="158" t="s">
        <v>85</v>
      </c>
    </row>
    <row r="19" spans="1:8" ht="30" customHeight="1">
      <c r="A19" s="300"/>
      <c r="B19" s="1">
        <v>15</v>
      </c>
      <c r="C19" s="1" t="s">
        <v>61</v>
      </c>
      <c r="D19" s="183" t="s">
        <v>373</v>
      </c>
      <c r="E19" s="1">
        <v>16</v>
      </c>
      <c r="F19" s="1"/>
      <c r="G19" s="158" t="s">
        <v>86</v>
      </c>
    </row>
    <row r="20" spans="1:8" ht="15" customHeight="1">
      <c r="A20" s="300"/>
      <c r="B20" s="1">
        <v>15</v>
      </c>
      <c r="C20" s="1" t="s">
        <v>352</v>
      </c>
      <c r="D20" s="1" t="s">
        <v>368</v>
      </c>
      <c r="E20" s="1">
        <v>12</v>
      </c>
      <c r="F20" s="1" t="s">
        <v>73</v>
      </c>
      <c r="G20" s="158" t="s">
        <v>87</v>
      </c>
    </row>
    <row r="21" spans="1:8" ht="30">
      <c r="A21" s="300"/>
      <c r="B21" s="1">
        <v>15</v>
      </c>
      <c r="C21" s="1" t="s">
        <v>72</v>
      </c>
      <c r="D21" s="1" t="s">
        <v>367</v>
      </c>
      <c r="E21" s="1">
        <v>11</v>
      </c>
      <c r="F21" s="1" t="s">
        <v>73</v>
      </c>
      <c r="G21" s="158" t="s">
        <v>88</v>
      </c>
      <c r="H21" s="84" t="s">
        <v>355</v>
      </c>
    </row>
    <row r="22" spans="1:8">
      <c r="A22" s="300"/>
      <c r="B22" s="1">
        <v>15</v>
      </c>
      <c r="C22" s="1" t="s">
        <v>89</v>
      </c>
      <c r="D22" s="1" t="s">
        <v>376</v>
      </c>
      <c r="E22" s="1">
        <v>13</v>
      </c>
      <c r="F22" s="1" t="s">
        <v>90</v>
      </c>
      <c r="G22" s="158" t="s">
        <v>91</v>
      </c>
    </row>
    <row r="23" spans="1:8" ht="15" customHeight="1">
      <c r="A23" s="300"/>
      <c r="B23" s="1">
        <v>15</v>
      </c>
      <c r="C23" s="1" t="s">
        <v>67</v>
      </c>
      <c r="D23" s="1"/>
      <c r="E23" s="1">
        <v>1</v>
      </c>
      <c r="F23" s="1"/>
      <c r="G23" s="158" t="s">
        <v>76</v>
      </c>
    </row>
    <row r="24" spans="1:8" ht="15" customHeight="1">
      <c r="A24" s="162" t="s">
        <v>84</v>
      </c>
      <c r="B24" s="1">
        <v>17</v>
      </c>
      <c r="C24" s="1" t="s">
        <v>80</v>
      </c>
      <c r="D24" s="1" t="s">
        <v>366</v>
      </c>
      <c r="E24" s="1">
        <v>15</v>
      </c>
      <c r="F24" s="1"/>
      <c r="G24" s="158" t="s">
        <v>92</v>
      </c>
    </row>
    <row r="25" spans="1:8" ht="15" customHeight="1">
      <c r="A25" s="288" t="s">
        <v>93</v>
      </c>
      <c r="B25" s="1">
        <v>17</v>
      </c>
      <c r="C25" s="1" t="s">
        <v>94</v>
      </c>
      <c r="D25" s="1" t="s">
        <v>366</v>
      </c>
      <c r="E25" s="1">
        <v>15</v>
      </c>
      <c r="F25" s="1"/>
      <c r="G25" s="158" t="s">
        <v>95</v>
      </c>
    </row>
    <row r="26" spans="1:8" ht="15" customHeight="1">
      <c r="A26" s="289"/>
      <c r="B26" s="1">
        <v>17</v>
      </c>
      <c r="C26" s="1" t="s">
        <v>67</v>
      </c>
      <c r="D26" s="1" t="s">
        <v>366</v>
      </c>
      <c r="E26" s="1">
        <v>17</v>
      </c>
      <c r="F26" s="1"/>
      <c r="G26" s="158" t="s">
        <v>76</v>
      </c>
    </row>
    <row r="27" spans="1:8" ht="15" customHeight="1">
      <c r="A27" s="288" t="s">
        <v>96</v>
      </c>
      <c r="B27" s="1">
        <v>17</v>
      </c>
      <c r="C27" s="1" t="s">
        <v>94</v>
      </c>
      <c r="D27" s="1" t="s">
        <v>366</v>
      </c>
      <c r="E27" s="1">
        <v>15</v>
      </c>
      <c r="F27" s="1"/>
      <c r="G27" s="158" t="s">
        <v>95</v>
      </c>
    </row>
    <row r="28" spans="1:8" ht="15" customHeight="1">
      <c r="A28" s="289"/>
      <c r="B28" s="1">
        <v>17</v>
      </c>
      <c r="C28" s="1" t="s">
        <v>67</v>
      </c>
      <c r="D28" s="1" t="s">
        <v>366</v>
      </c>
      <c r="E28" s="1">
        <v>17</v>
      </c>
      <c r="F28" s="1"/>
      <c r="G28" s="158" t="s">
        <v>76</v>
      </c>
    </row>
    <row r="29" spans="1:8" ht="30">
      <c r="A29" s="290" t="s">
        <v>94</v>
      </c>
      <c r="B29" s="1">
        <v>15</v>
      </c>
      <c r="C29" s="1" t="s">
        <v>61</v>
      </c>
      <c r="D29" s="183" t="s">
        <v>373</v>
      </c>
      <c r="E29" s="1">
        <v>16</v>
      </c>
      <c r="F29" s="1"/>
      <c r="G29" s="158" t="s">
        <v>97</v>
      </c>
    </row>
    <row r="30" spans="1:8" ht="15" customHeight="1">
      <c r="A30" s="290"/>
      <c r="B30" s="1">
        <v>15</v>
      </c>
      <c r="C30" s="1" t="s">
        <v>67</v>
      </c>
      <c r="D30" s="1" t="s">
        <v>366</v>
      </c>
      <c r="E30" s="1">
        <v>17</v>
      </c>
      <c r="F30" s="1"/>
      <c r="G30" s="158" t="s">
        <v>76</v>
      </c>
    </row>
    <row r="31" spans="1:8" ht="15" customHeight="1">
      <c r="A31" s="290"/>
      <c r="B31" s="1">
        <v>15</v>
      </c>
      <c r="C31" s="1" t="s">
        <v>72</v>
      </c>
      <c r="D31" s="1" t="s">
        <v>367</v>
      </c>
      <c r="E31" s="1">
        <v>11</v>
      </c>
      <c r="F31" s="1"/>
      <c r="G31" s="158" t="s">
        <v>98</v>
      </c>
    </row>
    <row r="32" spans="1:8" ht="15" customHeight="1">
      <c r="A32" s="290"/>
      <c r="B32" s="1">
        <v>15</v>
      </c>
      <c r="C32" s="1" t="s">
        <v>352</v>
      </c>
      <c r="D32" s="1" t="s">
        <v>368</v>
      </c>
      <c r="E32" s="1">
        <v>15</v>
      </c>
      <c r="F32" s="1" t="s">
        <v>73</v>
      </c>
      <c r="G32" s="158" t="s">
        <v>75</v>
      </c>
    </row>
    <row r="33" spans="1:7" ht="30" customHeight="1">
      <c r="A33" s="291" t="s">
        <v>61</v>
      </c>
      <c r="B33" s="1">
        <v>16</v>
      </c>
      <c r="C33" s="1" t="s">
        <v>57</v>
      </c>
      <c r="D33" s="1" t="s">
        <v>374</v>
      </c>
      <c r="E33" s="1">
        <v>15</v>
      </c>
      <c r="F33" s="1"/>
      <c r="G33" s="158" t="s">
        <v>99</v>
      </c>
    </row>
    <row r="34" spans="1:7" ht="15" customHeight="1">
      <c r="A34" s="291"/>
      <c r="B34" s="1">
        <v>16</v>
      </c>
      <c r="C34" s="1" t="s">
        <v>56</v>
      </c>
      <c r="D34" s="1" t="s">
        <v>366</v>
      </c>
      <c r="E34" s="1">
        <v>15</v>
      </c>
      <c r="F34" s="1"/>
      <c r="G34" s="158" t="s">
        <v>62</v>
      </c>
    </row>
    <row r="35" spans="1:7" ht="30">
      <c r="A35" s="291"/>
      <c r="B35" s="1">
        <v>16</v>
      </c>
      <c r="C35" s="1" t="s">
        <v>80</v>
      </c>
      <c r="D35" s="179" t="s">
        <v>375</v>
      </c>
      <c r="E35" s="1">
        <v>15</v>
      </c>
      <c r="F35" s="1"/>
      <c r="G35" s="158" t="s">
        <v>86</v>
      </c>
    </row>
    <row r="36" spans="1:7">
      <c r="A36" s="291"/>
      <c r="B36" s="1">
        <v>16</v>
      </c>
      <c r="C36" s="1" t="s">
        <v>352</v>
      </c>
      <c r="D36" s="1" t="s">
        <v>368</v>
      </c>
      <c r="E36" s="1">
        <v>15</v>
      </c>
      <c r="F36" s="1" t="s">
        <v>73</v>
      </c>
      <c r="G36" s="158" t="s">
        <v>75</v>
      </c>
    </row>
    <row r="37" spans="1:7" ht="15" customHeight="1">
      <c r="A37" s="291"/>
      <c r="B37" s="1">
        <v>16</v>
      </c>
      <c r="C37" s="1" t="s">
        <v>72</v>
      </c>
      <c r="D37" s="1" t="s">
        <v>367</v>
      </c>
      <c r="E37" s="1">
        <v>11</v>
      </c>
      <c r="F37" s="1" t="s">
        <v>73</v>
      </c>
      <c r="G37" s="158" t="s">
        <v>100</v>
      </c>
    </row>
    <row r="38" spans="1:7" ht="15" customHeight="1">
      <c r="A38" s="291"/>
      <c r="B38" s="1">
        <v>16</v>
      </c>
      <c r="C38" s="180" t="s">
        <v>101</v>
      </c>
      <c r="D38" s="180"/>
      <c r="E38" s="180">
        <v>11</v>
      </c>
      <c r="F38" s="180" t="s">
        <v>73</v>
      </c>
      <c r="G38" s="181" t="s">
        <v>102</v>
      </c>
    </row>
    <row r="39" spans="1:7" ht="15" customHeight="1">
      <c r="A39" s="291"/>
      <c r="B39" s="1">
        <v>16</v>
      </c>
      <c r="C39" s="1" t="s">
        <v>67</v>
      </c>
      <c r="D39" s="1" t="s">
        <v>366</v>
      </c>
      <c r="E39" s="1">
        <v>17</v>
      </c>
      <c r="F39" s="1"/>
      <c r="G39" s="158" t="s">
        <v>103</v>
      </c>
    </row>
    <row r="40" spans="1:7" ht="15" customHeight="1">
      <c r="A40" s="292" t="s">
        <v>353</v>
      </c>
      <c r="B40" s="1">
        <v>12</v>
      </c>
      <c r="C40" s="1" t="s">
        <v>61</v>
      </c>
      <c r="D40" s="183" t="s">
        <v>373</v>
      </c>
      <c r="E40" s="1">
        <v>16</v>
      </c>
      <c r="F40" s="1"/>
      <c r="G40" s="158" t="s">
        <v>104</v>
      </c>
    </row>
    <row r="41" spans="1:7" ht="15" customHeight="1">
      <c r="A41" s="293"/>
      <c r="B41" s="1">
        <v>12</v>
      </c>
      <c r="C41" s="1" t="s">
        <v>80</v>
      </c>
      <c r="D41" s="1" t="s">
        <v>375</v>
      </c>
      <c r="E41" s="1">
        <v>15</v>
      </c>
      <c r="F41" s="1"/>
      <c r="G41" s="158" t="s">
        <v>105</v>
      </c>
    </row>
    <row r="42" spans="1:7" ht="15" customHeight="1">
      <c r="A42" s="293"/>
      <c r="B42" s="1">
        <v>12</v>
      </c>
      <c r="C42" s="1" t="s">
        <v>94</v>
      </c>
      <c r="D42" s="1" t="s">
        <v>366</v>
      </c>
      <c r="E42" s="1">
        <v>15</v>
      </c>
      <c r="F42" s="1"/>
      <c r="G42" s="158" t="s">
        <v>105</v>
      </c>
    </row>
    <row r="43" spans="1:7" ht="15" customHeight="1">
      <c r="A43" s="293"/>
      <c r="B43" s="1">
        <v>12</v>
      </c>
      <c r="C43" s="1" t="s">
        <v>57</v>
      </c>
      <c r="D43" s="1" t="s">
        <v>374</v>
      </c>
      <c r="E43" s="1">
        <v>15</v>
      </c>
      <c r="F43" s="1"/>
      <c r="G43" s="158" t="s">
        <v>105</v>
      </c>
    </row>
    <row r="44" spans="1:7" ht="15" customHeight="1">
      <c r="A44" s="293"/>
      <c r="B44" s="1">
        <v>12</v>
      </c>
      <c r="C44" s="1" t="s">
        <v>64</v>
      </c>
      <c r="D44" s="1"/>
      <c r="E44" s="1">
        <v>17</v>
      </c>
      <c r="F44" s="1"/>
      <c r="G44" s="158" t="s">
        <v>105</v>
      </c>
    </row>
    <row r="45" spans="1:7" ht="15" customHeight="1">
      <c r="A45" s="293"/>
      <c r="B45" s="179">
        <v>12</v>
      </c>
      <c r="C45" s="184" t="s">
        <v>222</v>
      </c>
      <c r="D45" s="113" t="s">
        <v>377</v>
      </c>
      <c r="E45" s="179">
        <v>13</v>
      </c>
      <c r="F45" s="179"/>
    </row>
    <row r="46" spans="1:7" ht="15" customHeight="1">
      <c r="A46" s="294"/>
      <c r="B46" s="1">
        <v>12</v>
      </c>
      <c r="C46" s="1" t="s">
        <v>67</v>
      </c>
      <c r="D46" s="1"/>
      <c r="E46" s="1">
        <v>17</v>
      </c>
      <c r="F46" s="1"/>
      <c r="G46" s="158" t="s">
        <v>76</v>
      </c>
    </row>
    <row r="47" spans="1:7" ht="15" customHeight="1">
      <c r="A47" s="295" t="s">
        <v>67</v>
      </c>
      <c r="B47" s="1">
        <v>17</v>
      </c>
      <c r="C47" s="1" t="s">
        <v>61</v>
      </c>
      <c r="D47" s="1" t="s">
        <v>366</v>
      </c>
      <c r="E47" s="1">
        <v>16</v>
      </c>
      <c r="F47" s="1"/>
      <c r="G47" s="158" t="s">
        <v>76</v>
      </c>
    </row>
    <row r="48" spans="1:7" ht="15" customHeight="1">
      <c r="A48" s="296"/>
      <c r="B48" s="1">
        <v>17</v>
      </c>
      <c r="C48" s="1" t="s">
        <v>80</v>
      </c>
      <c r="D48" s="1" t="s">
        <v>366</v>
      </c>
      <c r="E48" s="1">
        <v>15</v>
      </c>
      <c r="F48" s="1"/>
      <c r="G48" s="158" t="s">
        <v>76</v>
      </c>
    </row>
    <row r="49" spans="1:7" ht="15" customHeight="1">
      <c r="A49" s="296"/>
      <c r="B49" s="1">
        <v>17</v>
      </c>
      <c r="C49" s="1" t="s">
        <v>94</v>
      </c>
      <c r="D49" s="1" t="s">
        <v>366</v>
      </c>
      <c r="E49" s="1">
        <v>15</v>
      </c>
      <c r="F49" s="1"/>
      <c r="G49" s="158" t="s">
        <v>76</v>
      </c>
    </row>
    <row r="50" spans="1:7" ht="15" customHeight="1">
      <c r="A50" s="296"/>
      <c r="B50" s="1">
        <v>17</v>
      </c>
      <c r="C50" s="1" t="s">
        <v>93</v>
      </c>
      <c r="D50" s="1" t="s">
        <v>366</v>
      </c>
      <c r="E50" s="1">
        <v>17</v>
      </c>
      <c r="F50" s="1"/>
      <c r="G50" s="158" t="s">
        <v>76</v>
      </c>
    </row>
    <row r="51" spans="1:7" ht="15" customHeight="1">
      <c r="A51" s="296"/>
      <c r="B51" s="1">
        <v>17</v>
      </c>
      <c r="C51" s="1" t="s">
        <v>96</v>
      </c>
      <c r="D51" s="1" t="s">
        <v>366</v>
      </c>
      <c r="E51" s="1">
        <v>17</v>
      </c>
      <c r="F51" s="1"/>
      <c r="G51" s="158" t="s">
        <v>76</v>
      </c>
    </row>
    <row r="52" spans="1:7" ht="15" customHeight="1">
      <c r="A52" s="296"/>
      <c r="B52" s="1">
        <v>17</v>
      </c>
      <c r="C52" s="1" t="s">
        <v>352</v>
      </c>
      <c r="D52" s="1" t="s">
        <v>366</v>
      </c>
      <c r="E52" s="1">
        <v>15</v>
      </c>
      <c r="F52" s="1"/>
      <c r="G52" s="158" t="s">
        <v>76</v>
      </c>
    </row>
    <row r="53" spans="1:7" ht="15" customHeight="1">
      <c r="A53" s="296"/>
      <c r="B53" s="1">
        <v>17</v>
      </c>
      <c r="C53" s="1" t="s">
        <v>56</v>
      </c>
      <c r="D53" s="1" t="s">
        <v>366</v>
      </c>
      <c r="E53" s="1">
        <v>15</v>
      </c>
      <c r="F53" s="1"/>
      <c r="G53" s="158" t="s">
        <v>76</v>
      </c>
    </row>
    <row r="54" spans="1:7" ht="15" customHeight="1">
      <c r="A54" s="296"/>
      <c r="B54" s="1">
        <v>17</v>
      </c>
      <c r="C54" s="1" t="s">
        <v>57</v>
      </c>
      <c r="D54" s="1" t="s">
        <v>366</v>
      </c>
      <c r="E54" s="1">
        <v>15</v>
      </c>
      <c r="F54" s="1"/>
      <c r="G54" s="158" t="s">
        <v>76</v>
      </c>
    </row>
    <row r="55" spans="1:7" ht="15" customHeight="1">
      <c r="A55" s="296"/>
      <c r="B55" s="1">
        <v>17</v>
      </c>
      <c r="C55" s="1" t="s">
        <v>64</v>
      </c>
      <c r="D55" s="1" t="s">
        <v>366</v>
      </c>
      <c r="E55" s="1">
        <v>17</v>
      </c>
      <c r="F55" s="1"/>
      <c r="G55" s="158" t="s">
        <v>76</v>
      </c>
    </row>
    <row r="56" spans="1:7" ht="15" customHeight="1">
      <c r="A56" s="287" t="s">
        <v>72</v>
      </c>
      <c r="B56" s="1">
        <v>11</v>
      </c>
      <c r="C56" s="1" t="s">
        <v>94</v>
      </c>
      <c r="D56" s="1" t="s">
        <v>366</v>
      </c>
      <c r="E56" s="1">
        <v>15</v>
      </c>
      <c r="F56" s="1"/>
      <c r="G56" s="158" t="s">
        <v>106</v>
      </c>
    </row>
    <row r="57" spans="1:7" ht="30">
      <c r="A57" s="287"/>
      <c r="B57" s="1">
        <v>11</v>
      </c>
      <c r="C57" s="1" t="s">
        <v>61</v>
      </c>
      <c r="D57" s="183" t="s">
        <v>373</v>
      </c>
      <c r="E57" s="1">
        <v>16</v>
      </c>
      <c r="F57" s="1"/>
      <c r="G57" s="158" t="s">
        <v>107</v>
      </c>
    </row>
    <row r="58" spans="1:7" ht="15" customHeight="1">
      <c r="A58" s="287"/>
      <c r="B58" s="1">
        <v>11</v>
      </c>
      <c r="C58" s="1" t="s">
        <v>57</v>
      </c>
      <c r="D58" s="1" t="s">
        <v>374</v>
      </c>
      <c r="E58" s="1">
        <v>15</v>
      </c>
      <c r="F58" s="1"/>
      <c r="G58" s="158" t="s">
        <v>108</v>
      </c>
    </row>
    <row r="59" spans="1:7">
      <c r="A59" s="287"/>
      <c r="B59" s="1">
        <v>11</v>
      </c>
      <c r="C59" s="1" t="s">
        <v>89</v>
      </c>
      <c r="D59" s="113" t="s">
        <v>377</v>
      </c>
      <c r="E59" s="1">
        <v>13</v>
      </c>
      <c r="F59" s="1"/>
      <c r="G59" s="158" t="s">
        <v>109</v>
      </c>
    </row>
    <row r="60" spans="1:7">
      <c r="A60" s="287"/>
      <c r="B60" s="1">
        <v>11</v>
      </c>
      <c r="C60" s="1" t="s">
        <v>80</v>
      </c>
      <c r="D60" s="1" t="s">
        <v>375</v>
      </c>
      <c r="E60" s="1">
        <v>15</v>
      </c>
      <c r="F60" s="1"/>
      <c r="G60" s="158" t="s">
        <v>110</v>
      </c>
    </row>
    <row r="61" spans="1:7">
      <c r="A61" s="51" t="s">
        <v>354</v>
      </c>
      <c r="B61" s="1">
        <v>12</v>
      </c>
      <c r="C61" s="1" t="s">
        <v>361</v>
      </c>
      <c r="D61" s="1"/>
      <c r="E61" s="1"/>
      <c r="F61" s="1"/>
    </row>
    <row r="62" spans="1:7">
      <c r="A62" s="51" t="s">
        <v>360</v>
      </c>
      <c r="B62" s="1">
        <v>12</v>
      </c>
      <c r="C62" s="1" t="s">
        <v>361</v>
      </c>
      <c r="D62" s="1"/>
      <c r="E62" s="1"/>
      <c r="F62" s="1"/>
    </row>
    <row r="63" spans="1:7">
      <c r="A63" s="51" t="s">
        <v>359</v>
      </c>
      <c r="B63" s="1">
        <v>12</v>
      </c>
      <c r="C63" s="1" t="s">
        <v>361</v>
      </c>
      <c r="D63" s="1"/>
      <c r="E63" s="1"/>
      <c r="F63" s="1"/>
    </row>
    <row r="64" spans="1:7">
      <c r="A64" s="51" t="s">
        <v>246</v>
      </c>
      <c r="B64" s="1">
        <v>12</v>
      </c>
      <c r="C64" s="1" t="s">
        <v>361</v>
      </c>
      <c r="D64" s="1"/>
      <c r="E64" s="1"/>
      <c r="F64" s="1"/>
    </row>
    <row r="65" spans="1:3">
      <c r="A65" s="51" t="s">
        <v>101</v>
      </c>
      <c r="B65" s="1">
        <v>12</v>
      </c>
      <c r="C65" s="1" t="s">
        <v>361</v>
      </c>
    </row>
    <row r="66" spans="1:3">
      <c r="A66" s="51" t="s">
        <v>362</v>
      </c>
      <c r="B66" s="1">
        <v>12</v>
      </c>
      <c r="C66" s="1" t="s">
        <v>361</v>
      </c>
    </row>
    <row r="67" spans="1:3">
      <c r="A67" s="51" t="s">
        <v>363</v>
      </c>
      <c r="B67" s="1">
        <v>12</v>
      </c>
      <c r="C67" s="1" t="s">
        <v>361</v>
      </c>
    </row>
  </sheetData>
  <autoFilter ref="A1:K60" xr:uid="{E00BF754-CB78-45B6-B108-7B9423192F3C}"/>
  <mergeCells count="11">
    <mergeCell ref="A2:A5"/>
    <mergeCell ref="A6:A11"/>
    <mergeCell ref="A12:A15"/>
    <mergeCell ref="A17:A23"/>
    <mergeCell ref="A25:A26"/>
    <mergeCell ref="A56:A60"/>
    <mergeCell ref="A27:A28"/>
    <mergeCell ref="A29:A32"/>
    <mergeCell ref="A33:A39"/>
    <mergeCell ref="A40:A46"/>
    <mergeCell ref="A47:A55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B2:M84"/>
  <sheetViews>
    <sheetView topLeftCell="A11" zoomScaleNormal="100" workbookViewId="0">
      <selection activeCell="B46" sqref="B46"/>
    </sheetView>
  </sheetViews>
  <sheetFormatPr baseColWidth="10" defaultColWidth="11.42578125" defaultRowHeight="15"/>
  <cols>
    <col min="2" max="2" width="25.140625" customWidth="1"/>
    <col min="3" max="3" width="20.42578125" customWidth="1"/>
    <col min="4" max="4" width="36.42578125" customWidth="1"/>
    <col min="5" max="5" width="16.28515625" customWidth="1"/>
    <col min="6" max="6" width="19" customWidth="1"/>
    <col min="7" max="7" width="20" customWidth="1"/>
    <col min="8" max="8" width="82.28515625" customWidth="1"/>
    <col min="9" max="9" width="17.42578125" customWidth="1"/>
    <col min="10" max="10" width="12.7109375" customWidth="1"/>
    <col min="11" max="11" width="15.5703125" customWidth="1"/>
    <col min="12" max="12" width="19.85546875" customWidth="1"/>
  </cols>
  <sheetData>
    <row r="2" spans="2:13" ht="15.75" thickBot="1"/>
    <row r="3" spans="2:13" ht="15.75" thickBot="1">
      <c r="G3" s="153" t="s">
        <v>111</v>
      </c>
      <c r="H3" s="10" t="s">
        <v>112</v>
      </c>
      <c r="I3" s="10" t="s">
        <v>113</v>
      </c>
      <c r="J3" s="11" t="s">
        <v>114</v>
      </c>
      <c r="K3" s="11" t="s">
        <v>115</v>
      </c>
      <c r="L3" s="11" t="s">
        <v>116</v>
      </c>
    </row>
    <row r="4" spans="2:13" ht="19.149999999999999" customHeight="1" thickBot="1">
      <c r="B4" s="12" t="s">
        <v>117</v>
      </c>
      <c r="C4" s="13" t="s">
        <v>118</v>
      </c>
      <c r="D4" s="27" t="s">
        <v>119</v>
      </c>
      <c r="G4" s="301" t="s">
        <v>120</v>
      </c>
      <c r="H4" s="151" t="s">
        <v>121</v>
      </c>
      <c r="I4" s="146" t="s">
        <v>122</v>
      </c>
      <c r="J4" s="146" t="s">
        <v>123</v>
      </c>
      <c r="K4" s="146">
        <v>0</v>
      </c>
      <c r="L4" s="146" t="s">
        <v>124</v>
      </c>
    </row>
    <row r="5" spans="2:13" ht="30.75" thickBot="1">
      <c r="B5" s="28" t="s">
        <v>125</v>
      </c>
      <c r="C5" s="26" t="s">
        <v>126</v>
      </c>
      <c r="D5" s="29" t="s">
        <v>127</v>
      </c>
      <c r="G5" s="302"/>
      <c r="H5" s="154" t="s">
        <v>128</v>
      </c>
      <c r="I5" s="146" t="s">
        <v>129</v>
      </c>
      <c r="J5" s="147" t="s">
        <v>130</v>
      </c>
      <c r="K5" s="147">
        <v>1</v>
      </c>
      <c r="L5" s="146" t="s">
        <v>131</v>
      </c>
    </row>
    <row r="6" spans="2:13" ht="15.75" thickBot="1">
      <c r="B6" s="28" t="s">
        <v>132</v>
      </c>
      <c r="C6" s="26" t="s">
        <v>133</v>
      </c>
      <c r="D6" s="29" t="s">
        <v>134</v>
      </c>
      <c r="G6" s="302"/>
      <c r="H6" s="154" t="s">
        <v>135</v>
      </c>
      <c r="I6" s="146" t="s">
        <v>136</v>
      </c>
      <c r="J6" s="147" t="s">
        <v>137</v>
      </c>
      <c r="K6" s="147">
        <v>2</v>
      </c>
      <c r="L6" s="146" t="s">
        <v>138</v>
      </c>
    </row>
    <row r="7" spans="2:13" ht="15.75" thickBot="1">
      <c r="B7" s="28" t="s">
        <v>139</v>
      </c>
      <c r="C7" s="26" t="s">
        <v>131</v>
      </c>
      <c r="D7" s="29" t="s">
        <v>140</v>
      </c>
      <c r="G7" s="302"/>
      <c r="H7" s="154" t="s">
        <v>141</v>
      </c>
      <c r="I7" s="146" t="s">
        <v>142</v>
      </c>
      <c r="J7" s="147" t="s">
        <v>143</v>
      </c>
      <c r="K7" s="147">
        <v>3</v>
      </c>
      <c r="L7" s="146" t="s">
        <v>144</v>
      </c>
    </row>
    <row r="8" spans="2:13" ht="15.75" thickBot="1">
      <c r="B8" s="30" t="s">
        <v>145</v>
      </c>
      <c r="C8" s="31" t="s">
        <v>146</v>
      </c>
      <c r="D8" s="32" t="s">
        <v>147</v>
      </c>
      <c r="E8" t="s">
        <v>148</v>
      </c>
      <c r="G8" s="302"/>
      <c r="H8" s="149" t="s">
        <v>149</v>
      </c>
      <c r="I8" s="146" t="s">
        <v>150</v>
      </c>
      <c r="J8" s="147" t="s">
        <v>151</v>
      </c>
      <c r="K8" s="147">
        <v>4</v>
      </c>
      <c r="L8" s="146" t="s">
        <v>152</v>
      </c>
      <c r="M8" s="182" t="s">
        <v>358</v>
      </c>
    </row>
    <row r="9" spans="2:13" ht="15.75" thickBot="1">
      <c r="G9" s="302"/>
      <c r="H9" s="155" t="s">
        <v>451</v>
      </c>
      <c r="I9" s="146" t="s">
        <v>153</v>
      </c>
      <c r="J9" s="147" t="s">
        <v>154</v>
      </c>
      <c r="K9" s="147">
        <v>5</v>
      </c>
      <c r="L9" s="146" t="s">
        <v>155</v>
      </c>
      <c r="M9" s="182" t="s">
        <v>357</v>
      </c>
    </row>
    <row r="10" spans="2:13" ht="15.75" thickBot="1">
      <c r="D10" s="19" t="s">
        <v>156</v>
      </c>
      <c r="E10" s="19" t="s">
        <v>157</v>
      </c>
      <c r="G10" s="302"/>
      <c r="H10" s="155" t="s">
        <v>158</v>
      </c>
      <c r="I10" s="146" t="s">
        <v>159</v>
      </c>
      <c r="J10" s="147" t="s">
        <v>160</v>
      </c>
      <c r="K10" s="147">
        <v>6</v>
      </c>
      <c r="L10" s="146" t="s">
        <v>161</v>
      </c>
      <c r="M10" s="182" t="s">
        <v>356</v>
      </c>
    </row>
    <row r="11" spans="2:13" ht="15.75" thickBot="1">
      <c r="B11" s="33" t="s">
        <v>162</v>
      </c>
      <c r="C11" s="13">
        <v>7</v>
      </c>
      <c r="D11" s="13" t="str">
        <f>DEC2BIN(C11)</f>
        <v>111</v>
      </c>
      <c r="E11" s="14">
        <v>3</v>
      </c>
      <c r="G11" s="302"/>
      <c r="H11" s="150" t="s">
        <v>163</v>
      </c>
      <c r="I11" s="146" t="s">
        <v>164</v>
      </c>
      <c r="J11" s="148" t="s">
        <v>165</v>
      </c>
      <c r="K11" s="148">
        <v>7</v>
      </c>
      <c r="L11" s="148" t="s">
        <v>166</v>
      </c>
      <c r="M11" s="182" t="s">
        <v>131</v>
      </c>
    </row>
    <row r="12" spans="2:13" ht="15.75" thickBot="1">
      <c r="B12" s="28" t="s">
        <v>167</v>
      </c>
      <c r="C12" s="1">
        <v>31</v>
      </c>
      <c r="D12" s="1" t="str">
        <f>DEC2BIN(C12)</f>
        <v>11111</v>
      </c>
      <c r="E12" s="4">
        <v>5</v>
      </c>
      <c r="G12" s="303"/>
      <c r="H12" s="152" t="s">
        <v>168</v>
      </c>
      <c r="I12" s="148" t="s">
        <v>169</v>
      </c>
    </row>
    <row r="13" spans="2:13" ht="15.75" thickBot="1">
      <c r="B13" s="30" t="s">
        <v>170</v>
      </c>
      <c r="C13" s="17">
        <v>63</v>
      </c>
      <c r="D13" s="17" t="str">
        <f>DEC2BIN(C13)</f>
        <v>111111</v>
      </c>
      <c r="E13" s="18">
        <v>6</v>
      </c>
    </row>
    <row r="14" spans="2:13" ht="15.75" thickBot="1">
      <c r="E14" s="19">
        <f>SUM(E11:E13)</f>
        <v>14</v>
      </c>
    </row>
    <row r="17" spans="2:10" ht="15.75" thickBot="1"/>
    <row r="18" spans="2:10" ht="15.75" thickBot="1">
      <c r="B18" s="34" t="s">
        <v>171</v>
      </c>
      <c r="C18" s="312" t="s">
        <v>172</v>
      </c>
      <c r="D18" s="313"/>
      <c r="E18" s="314"/>
      <c r="F18" s="35" t="s">
        <v>173</v>
      </c>
      <c r="G18" s="36">
        <v>9</v>
      </c>
      <c r="H18" s="37"/>
    </row>
    <row r="19" spans="2:10">
      <c r="B19" s="38" t="s">
        <v>174</v>
      </c>
      <c r="C19" s="39"/>
      <c r="D19" s="40" t="s">
        <v>175</v>
      </c>
      <c r="E19" s="41" t="s">
        <v>176</v>
      </c>
      <c r="F19" s="42"/>
      <c r="G19" s="42" t="str">
        <f>DEC2BIN(G18)</f>
        <v>1001</v>
      </c>
      <c r="H19" s="43"/>
    </row>
    <row r="20" spans="2:10">
      <c r="B20" s="44" t="s">
        <v>177</v>
      </c>
      <c r="C20" s="43" t="s">
        <v>178</v>
      </c>
      <c r="D20" s="45">
        <f>BIN2DEC(11100)</f>
        <v>28</v>
      </c>
      <c r="E20" s="42" t="str">
        <f>DEC2BIN(D20)</f>
        <v>11100</v>
      </c>
      <c r="F20" s="42"/>
      <c r="G20" s="42">
        <f>BITWISE_AND(D20,G18)/4</f>
        <v>2</v>
      </c>
      <c r="H20" s="43" t="str">
        <f>DEC2BIN(G20)</f>
        <v>10</v>
      </c>
    </row>
    <row r="21" spans="2:10" ht="15.75" thickBot="1">
      <c r="B21" s="46" t="s">
        <v>179</v>
      </c>
      <c r="C21" s="47" t="s">
        <v>180</v>
      </c>
      <c r="D21" s="48">
        <f>BIN2DEC(11)</f>
        <v>3</v>
      </c>
      <c r="E21" s="49" t="str">
        <f>DEC2BIN(D21)</f>
        <v>11</v>
      </c>
      <c r="F21" s="49"/>
      <c r="G21" s="49">
        <f>BITWISE_AND(D21,G18)</f>
        <v>1</v>
      </c>
      <c r="H21" s="47" t="str">
        <f>DEC2BIN(G21)</f>
        <v>1</v>
      </c>
    </row>
    <row r="22" spans="2:10" ht="15.75" thickBot="1"/>
    <row r="23" spans="2:10" ht="15.75" thickBot="1">
      <c r="C23" s="19" t="s">
        <v>181</v>
      </c>
      <c r="H23" s="182"/>
      <c r="I23" s="182"/>
    </row>
    <row r="24" spans="2:10" ht="15.75" thickBot="1">
      <c r="C24" s="12" t="s">
        <v>182</v>
      </c>
      <c r="D24" s="14">
        <v>0</v>
      </c>
      <c r="E24" s="24" t="s">
        <v>183</v>
      </c>
      <c r="F24" s="22">
        <v>10</v>
      </c>
      <c r="G24" s="21">
        <v>0</v>
      </c>
      <c r="H24" s="21">
        <f>(BITWISE_AND($D$20,D25)/4)+D24*8</f>
        <v>0</v>
      </c>
      <c r="I24" s="23">
        <f>(BITWISE_AND($D$21,D25)*64)+D26*10+D27</f>
        <v>100</v>
      </c>
      <c r="J24" s="25" t="str">
        <f>CONCATENATE("10.0.",TEXT(H24,"0"),".",TEXT(I24,"0"))</f>
        <v>10.0.0.100</v>
      </c>
    </row>
    <row r="25" spans="2:10" ht="15.75" thickBot="1">
      <c r="C25" s="15" t="s">
        <v>184</v>
      </c>
      <c r="D25" s="4">
        <v>1</v>
      </c>
      <c r="E25" s="24" t="s">
        <v>185</v>
      </c>
      <c r="F25" s="21" t="str">
        <f>DEC2BIN(F24)</f>
        <v>1010</v>
      </c>
      <c r="G25" s="21" t="str">
        <f>DEC2BIN(G24)</f>
        <v>0</v>
      </c>
      <c r="H25" s="21" t="str">
        <f>DEC2BIN(H24)</f>
        <v>0</v>
      </c>
      <c r="I25" s="21" t="str">
        <f>DEC2BIN(I24)</f>
        <v>1100100</v>
      </c>
    </row>
    <row r="26" spans="2:10">
      <c r="C26" s="15" t="s">
        <v>186</v>
      </c>
      <c r="D26" s="4">
        <v>3</v>
      </c>
    </row>
    <row r="27" spans="2:10" ht="15.75" thickBot="1">
      <c r="C27" s="16" t="s">
        <v>187</v>
      </c>
      <c r="D27" s="18">
        <v>6</v>
      </c>
    </row>
    <row r="28" spans="2:10">
      <c r="I28">
        <v>1111100</v>
      </c>
      <c r="J28">
        <f>BIN2DEC(I28)</f>
        <v>124</v>
      </c>
    </row>
    <row r="29" spans="2:10">
      <c r="I29">
        <v>60</v>
      </c>
      <c r="J29" t="str">
        <f>DEC2BIN(I29)</f>
        <v>111100</v>
      </c>
    </row>
    <row r="30" spans="2:10" ht="15.75" thickBot="1"/>
    <row r="31" spans="2:10" ht="15.75" thickBot="1">
      <c r="B31" s="307" t="s">
        <v>188</v>
      </c>
      <c r="C31" s="308"/>
      <c r="D31" s="308"/>
      <c r="E31" s="19" t="s">
        <v>189</v>
      </c>
      <c r="F31" s="171" t="s">
        <v>190</v>
      </c>
    </row>
    <row r="32" spans="2:10">
      <c r="B32" s="304" t="s">
        <v>191</v>
      </c>
      <c r="C32" s="81" t="s">
        <v>192</v>
      </c>
      <c r="D32" s="306" t="s">
        <v>193</v>
      </c>
      <c r="E32" s="65"/>
      <c r="F32" s="65"/>
    </row>
    <row r="33" spans="2:6">
      <c r="B33" s="304"/>
      <c r="C33" s="81" t="s">
        <v>194</v>
      </c>
      <c r="D33" s="306"/>
      <c r="E33" s="1"/>
      <c r="F33" s="1"/>
    </row>
    <row r="34" spans="2:6">
      <c r="B34" s="304"/>
      <c r="C34" s="81" t="s">
        <v>195</v>
      </c>
      <c r="D34" s="306"/>
      <c r="E34" s="1"/>
      <c r="F34" s="1"/>
    </row>
    <row r="35" spans="2:6">
      <c r="B35" s="304"/>
      <c r="C35" s="81" t="s">
        <v>196</v>
      </c>
      <c r="D35" s="306" t="s">
        <v>197</v>
      </c>
      <c r="E35" s="1"/>
      <c r="F35" s="1"/>
    </row>
    <row r="36" spans="2:6">
      <c r="B36" s="304"/>
      <c r="C36" s="81" t="s">
        <v>198</v>
      </c>
      <c r="D36" s="306"/>
      <c r="E36" s="1"/>
      <c r="F36" s="1"/>
    </row>
    <row r="37" spans="2:6">
      <c r="B37" s="305"/>
      <c r="C37" s="65" t="s">
        <v>199</v>
      </c>
      <c r="D37" s="172" t="s">
        <v>200</v>
      </c>
      <c r="E37" s="1"/>
      <c r="F37" s="1"/>
    </row>
    <row r="38" spans="2:6" ht="57">
      <c r="B38" s="315" t="s">
        <v>201</v>
      </c>
      <c r="C38" s="66" t="s">
        <v>202</v>
      </c>
      <c r="D38" s="169" t="s">
        <v>203</v>
      </c>
      <c r="E38" s="173" t="s">
        <v>204</v>
      </c>
      <c r="F38" s="174" t="s">
        <v>205</v>
      </c>
    </row>
    <row r="39" spans="2:6">
      <c r="B39" s="316"/>
      <c r="C39" s="81" t="s">
        <v>206</v>
      </c>
      <c r="D39" s="169" t="s">
        <v>207</v>
      </c>
      <c r="E39" s="168" t="s">
        <v>208</v>
      </c>
      <c r="F39" s="168" t="s">
        <v>186</v>
      </c>
    </row>
    <row r="40" spans="2:6">
      <c r="B40" s="316"/>
      <c r="C40" s="81" t="s">
        <v>209</v>
      </c>
      <c r="D40" s="168" t="s">
        <v>210</v>
      </c>
      <c r="E40" s="168" t="s">
        <v>204</v>
      </c>
      <c r="F40" s="168" t="s">
        <v>211</v>
      </c>
    </row>
    <row r="41" spans="2:6">
      <c r="B41" s="316"/>
      <c r="C41" s="81" t="s">
        <v>212</v>
      </c>
      <c r="D41" s="168" t="s">
        <v>213</v>
      </c>
      <c r="E41" s="168" t="s">
        <v>204</v>
      </c>
      <c r="F41" s="168" t="s">
        <v>211</v>
      </c>
    </row>
    <row r="42" spans="2:6">
      <c r="B42" s="316"/>
      <c r="C42" s="81" t="s">
        <v>214</v>
      </c>
      <c r="D42" s="168" t="s">
        <v>215</v>
      </c>
      <c r="E42" s="168" t="s">
        <v>204</v>
      </c>
      <c r="F42" s="168" t="s">
        <v>211</v>
      </c>
    </row>
    <row r="43" spans="2:6">
      <c r="B43" s="316"/>
      <c r="C43" s="81" t="s">
        <v>216</v>
      </c>
      <c r="D43" s="168" t="s">
        <v>217</v>
      </c>
      <c r="E43" s="168" t="s">
        <v>204</v>
      </c>
      <c r="F43" s="168" t="s">
        <v>211</v>
      </c>
    </row>
    <row r="44" spans="2:6">
      <c r="B44" s="316"/>
      <c r="C44" s="81" t="s">
        <v>218</v>
      </c>
      <c r="D44" s="168" t="s">
        <v>219</v>
      </c>
      <c r="E44" s="168" t="s">
        <v>204</v>
      </c>
      <c r="F44" s="168" t="s">
        <v>211</v>
      </c>
    </row>
    <row r="45" spans="2:6">
      <c r="B45" s="317"/>
      <c r="C45" s="65" t="s">
        <v>220</v>
      </c>
      <c r="D45" s="168" t="s">
        <v>221</v>
      </c>
      <c r="E45" s="170" t="s">
        <v>204</v>
      </c>
      <c r="F45" s="170" t="s">
        <v>222</v>
      </c>
    </row>
    <row r="46" spans="2:6">
      <c r="B46" t="s">
        <v>72</v>
      </c>
      <c r="C46" t="s">
        <v>367</v>
      </c>
    </row>
    <row r="47" spans="2:6">
      <c r="B47" t="s">
        <v>380</v>
      </c>
      <c r="C47" t="s">
        <v>374</v>
      </c>
    </row>
    <row r="48" spans="2:6">
      <c r="B48" t="s">
        <v>260</v>
      </c>
      <c r="C48" t="s">
        <v>368</v>
      </c>
    </row>
    <row r="49" spans="2:9">
      <c r="B49" t="s">
        <v>191</v>
      </c>
      <c r="C49" t="s">
        <v>377</v>
      </c>
    </row>
    <row r="50" spans="2:9" ht="15.75" thickBot="1">
      <c r="B50" t="s">
        <v>201</v>
      </c>
      <c r="C50" t="s">
        <v>375</v>
      </c>
    </row>
    <row r="51" spans="2:9" ht="26.25" thickBot="1">
      <c r="B51" s="185" t="s">
        <v>204</v>
      </c>
      <c r="C51" s="186" t="s">
        <v>222</v>
      </c>
      <c r="D51" s="187" t="s">
        <v>450</v>
      </c>
      <c r="E51" s="188" t="s">
        <v>382</v>
      </c>
    </row>
    <row r="52" spans="2:9" ht="26.25" thickBot="1">
      <c r="B52" s="189" t="s">
        <v>204</v>
      </c>
      <c r="C52" s="190" t="s">
        <v>222</v>
      </c>
      <c r="D52" s="191" t="s">
        <v>383</v>
      </c>
      <c r="E52" s="192" t="s">
        <v>384</v>
      </c>
    </row>
    <row r="53" spans="2:9" ht="26.25" thickBot="1">
      <c r="B53" s="189" t="s">
        <v>204</v>
      </c>
      <c r="C53" s="190" t="s">
        <v>222</v>
      </c>
      <c r="D53" s="191" t="s">
        <v>385</v>
      </c>
      <c r="E53" s="192" t="s">
        <v>386</v>
      </c>
    </row>
    <row r="54" spans="2:9" ht="26.25" thickBot="1">
      <c r="B54" s="189" t="s">
        <v>204</v>
      </c>
      <c r="C54" s="190" t="s">
        <v>222</v>
      </c>
      <c r="D54" s="191" t="s">
        <v>387</v>
      </c>
      <c r="E54" s="192" t="s">
        <v>388</v>
      </c>
    </row>
    <row r="55" spans="2:9" ht="26.25" thickBot="1">
      <c r="B55" s="189" t="s">
        <v>204</v>
      </c>
      <c r="C55" s="190" t="s">
        <v>222</v>
      </c>
      <c r="D55" s="191" t="s">
        <v>389</v>
      </c>
      <c r="E55" s="192" t="s">
        <v>390</v>
      </c>
      <c r="G55" s="307" t="s">
        <v>223</v>
      </c>
      <c r="H55" s="308"/>
      <c r="I55" s="311"/>
    </row>
    <row r="56" spans="2:9" ht="26.25" thickBot="1">
      <c r="B56" s="189" t="s">
        <v>204</v>
      </c>
      <c r="C56" s="190" t="s">
        <v>222</v>
      </c>
      <c r="D56" s="191" t="s">
        <v>391</v>
      </c>
      <c r="E56" s="192" t="s">
        <v>392</v>
      </c>
      <c r="G56" s="84" t="s">
        <v>191</v>
      </c>
      <c r="H56" s="81" t="s">
        <v>224</v>
      </c>
      <c r="I56" s="80"/>
    </row>
    <row r="57" spans="2:9" ht="26.25" thickBot="1">
      <c r="B57" s="189" t="s">
        <v>204</v>
      </c>
      <c r="C57" s="190" t="s">
        <v>222</v>
      </c>
      <c r="D57" s="191" t="s">
        <v>393</v>
      </c>
      <c r="E57" s="192" t="s">
        <v>394</v>
      </c>
      <c r="G57" s="75" t="s">
        <v>225</v>
      </c>
      <c r="H57" s="65" t="s">
        <v>226</v>
      </c>
      <c r="I57" s="61"/>
    </row>
    <row r="58" spans="2:9" ht="26.25" thickBot="1">
      <c r="B58" s="189" t="s">
        <v>204</v>
      </c>
      <c r="C58" s="190" t="s">
        <v>222</v>
      </c>
      <c r="D58" s="191" t="s">
        <v>395</v>
      </c>
      <c r="E58" s="192" t="s">
        <v>396</v>
      </c>
      <c r="G58" t="s">
        <v>260</v>
      </c>
      <c r="H58" t="s">
        <v>371</v>
      </c>
    </row>
    <row r="59" spans="2:9" ht="26.25" thickBot="1">
      <c r="B59" s="189" t="s">
        <v>204</v>
      </c>
      <c r="C59" s="190" t="s">
        <v>222</v>
      </c>
      <c r="D59" s="191" t="s">
        <v>397</v>
      </c>
      <c r="E59" s="192" t="s">
        <v>398</v>
      </c>
      <c r="G59" t="s">
        <v>260</v>
      </c>
      <c r="H59" t="s">
        <v>370</v>
      </c>
    </row>
    <row r="60" spans="2:9" ht="26.25" thickBot="1">
      <c r="B60" s="189" t="s">
        <v>204</v>
      </c>
      <c r="C60" s="190" t="s">
        <v>222</v>
      </c>
      <c r="D60" s="191" t="s">
        <v>399</v>
      </c>
      <c r="E60" s="192" t="s">
        <v>400</v>
      </c>
    </row>
    <row r="61" spans="2:9" ht="26.25" thickBot="1">
      <c r="B61" s="189" t="s">
        <v>204</v>
      </c>
      <c r="C61" s="190" t="s">
        <v>222</v>
      </c>
      <c r="D61" s="191" t="s">
        <v>401</v>
      </c>
      <c r="E61" s="192" t="s">
        <v>402</v>
      </c>
    </row>
    <row r="62" spans="2:9" ht="26.25" thickBot="1">
      <c r="B62" s="189" t="s">
        <v>204</v>
      </c>
      <c r="C62" s="190" t="s">
        <v>222</v>
      </c>
      <c r="D62" s="191" t="s">
        <v>403</v>
      </c>
      <c r="E62" s="192" t="s">
        <v>404</v>
      </c>
    </row>
    <row r="63" spans="2:9" ht="26.25" thickBot="1">
      <c r="B63" s="189" t="s">
        <v>204</v>
      </c>
      <c r="C63" s="190" t="s">
        <v>222</v>
      </c>
      <c r="D63" s="191" t="s">
        <v>405</v>
      </c>
      <c r="E63" s="192" t="s">
        <v>406</v>
      </c>
    </row>
    <row r="64" spans="2:9" ht="26.25" thickBot="1">
      <c r="B64" s="189" t="s">
        <v>204</v>
      </c>
      <c r="C64" s="190" t="s">
        <v>222</v>
      </c>
      <c r="D64" s="191" t="s">
        <v>407</v>
      </c>
      <c r="E64" s="192" t="s">
        <v>408</v>
      </c>
    </row>
    <row r="65" spans="2:5" ht="26.25" thickBot="1">
      <c r="B65" s="189" t="s">
        <v>204</v>
      </c>
      <c r="C65" s="190" t="s">
        <v>222</v>
      </c>
      <c r="D65" s="191" t="s">
        <v>409</v>
      </c>
      <c r="E65" s="192" t="s">
        <v>410</v>
      </c>
    </row>
    <row r="66" spans="2:5" ht="26.25" thickBot="1">
      <c r="B66" s="189" t="s">
        <v>204</v>
      </c>
      <c r="C66" s="190" t="s">
        <v>222</v>
      </c>
      <c r="D66" s="191" t="s">
        <v>411</v>
      </c>
      <c r="E66" s="192" t="s">
        <v>412</v>
      </c>
    </row>
    <row r="67" spans="2:5" ht="26.25" thickBot="1">
      <c r="B67" s="189" t="s">
        <v>204</v>
      </c>
      <c r="C67" s="190" t="s">
        <v>222</v>
      </c>
      <c r="D67" s="191" t="s">
        <v>413</v>
      </c>
      <c r="E67" s="192" t="s">
        <v>414</v>
      </c>
    </row>
    <row r="68" spans="2:5" ht="26.25" thickBot="1">
      <c r="B68" s="185" t="s">
        <v>204</v>
      </c>
      <c r="C68" s="186" t="s">
        <v>222</v>
      </c>
      <c r="D68" s="187" t="s">
        <v>415</v>
      </c>
      <c r="E68" s="188" t="s">
        <v>416</v>
      </c>
    </row>
    <row r="69" spans="2:5" ht="26.25" thickBot="1">
      <c r="B69" s="189" t="s">
        <v>204</v>
      </c>
      <c r="C69" s="190" t="s">
        <v>222</v>
      </c>
      <c r="D69" s="191" t="s">
        <v>417</v>
      </c>
      <c r="E69" s="192" t="s">
        <v>418</v>
      </c>
    </row>
    <row r="70" spans="2:5" ht="26.25" thickBot="1">
      <c r="B70" s="189" t="s">
        <v>204</v>
      </c>
      <c r="C70" s="190" t="s">
        <v>222</v>
      </c>
      <c r="D70" s="191" t="s">
        <v>419</v>
      </c>
      <c r="E70" s="192" t="s">
        <v>420</v>
      </c>
    </row>
    <row r="71" spans="2:5" ht="26.25" thickBot="1">
      <c r="B71" s="189" t="s">
        <v>204</v>
      </c>
      <c r="C71" s="190" t="s">
        <v>222</v>
      </c>
      <c r="D71" s="191" t="s">
        <v>421</v>
      </c>
      <c r="E71" s="192" t="s">
        <v>422</v>
      </c>
    </row>
    <row r="72" spans="2:5" ht="26.25" thickBot="1">
      <c r="B72" s="189" t="s">
        <v>204</v>
      </c>
      <c r="C72" s="190" t="s">
        <v>222</v>
      </c>
      <c r="D72" s="191" t="s">
        <v>423</v>
      </c>
      <c r="E72" s="192" t="s">
        <v>424</v>
      </c>
    </row>
    <row r="73" spans="2:5" ht="26.25" thickBot="1">
      <c r="B73" s="189" t="s">
        <v>204</v>
      </c>
      <c r="C73" s="190" t="s">
        <v>222</v>
      </c>
      <c r="D73" s="191" t="s">
        <v>425</v>
      </c>
      <c r="E73" s="192" t="s">
        <v>426</v>
      </c>
    </row>
    <row r="74" spans="2:5" ht="26.25" thickBot="1">
      <c r="B74" s="189" t="s">
        <v>204</v>
      </c>
      <c r="C74" s="190" t="s">
        <v>222</v>
      </c>
      <c r="D74" s="191" t="s">
        <v>427</v>
      </c>
      <c r="E74" s="192" t="s">
        <v>428</v>
      </c>
    </row>
    <row r="75" spans="2:5" ht="26.25" thickBot="1">
      <c r="B75" s="189" t="s">
        <v>204</v>
      </c>
      <c r="C75" s="190" t="s">
        <v>222</v>
      </c>
      <c r="D75" s="191" t="s">
        <v>429</v>
      </c>
      <c r="E75" s="192" t="s">
        <v>430</v>
      </c>
    </row>
    <row r="76" spans="2:5" ht="26.25" thickBot="1">
      <c r="B76" s="189" t="s">
        <v>204</v>
      </c>
      <c r="C76" s="190" t="s">
        <v>222</v>
      </c>
      <c r="D76" s="191" t="s">
        <v>431</v>
      </c>
      <c r="E76" s="192" t="s">
        <v>432</v>
      </c>
    </row>
    <row r="77" spans="2:5" ht="26.25" thickBot="1">
      <c r="B77" s="189" t="s">
        <v>204</v>
      </c>
      <c r="C77" s="190" t="s">
        <v>222</v>
      </c>
      <c r="D77" s="191" t="s">
        <v>433</v>
      </c>
      <c r="E77" s="192" t="s">
        <v>434</v>
      </c>
    </row>
    <row r="78" spans="2:5" ht="51.75" thickBot="1">
      <c r="B78" s="193" t="s">
        <v>435</v>
      </c>
      <c r="C78" s="194" t="s">
        <v>222</v>
      </c>
      <c r="D78" s="194" t="s">
        <v>436</v>
      </c>
      <c r="E78" s="195" t="s">
        <v>437</v>
      </c>
    </row>
    <row r="79" spans="2:5" ht="51.75" thickBot="1">
      <c r="B79" s="196" t="s">
        <v>222</v>
      </c>
      <c r="C79" s="197" t="s">
        <v>435</v>
      </c>
      <c r="D79" s="197" t="s">
        <v>438</v>
      </c>
      <c r="E79" s="198" t="s">
        <v>439</v>
      </c>
    </row>
    <row r="80" spans="2:5" ht="26.25" thickBot="1">
      <c r="B80" s="196" t="s">
        <v>260</v>
      </c>
      <c r="C80" s="197" t="s">
        <v>222</v>
      </c>
      <c r="D80" s="199" t="s">
        <v>440</v>
      </c>
      <c r="E80" s="200" t="s">
        <v>441</v>
      </c>
    </row>
    <row r="81" spans="2:5" ht="39" thickBot="1">
      <c r="B81" s="196" t="s">
        <v>222</v>
      </c>
      <c r="C81" s="197" t="s">
        <v>260</v>
      </c>
      <c r="D81" s="199" t="s">
        <v>442</v>
      </c>
      <c r="E81" s="198" t="s">
        <v>443</v>
      </c>
    </row>
    <row r="82" spans="2:5" ht="26.25" thickBot="1">
      <c r="B82" s="196" t="s">
        <v>444</v>
      </c>
      <c r="C82" s="197" t="s">
        <v>222</v>
      </c>
      <c r="D82" s="197" t="s">
        <v>445</v>
      </c>
      <c r="E82" s="200" t="s">
        <v>446</v>
      </c>
    </row>
    <row r="83" spans="2:5" ht="25.5">
      <c r="B83" s="309" t="s">
        <v>222</v>
      </c>
      <c r="C83" s="309" t="s">
        <v>444</v>
      </c>
      <c r="D83" s="309" t="s">
        <v>447</v>
      </c>
      <c r="E83" s="201" t="s">
        <v>448</v>
      </c>
    </row>
    <row r="84" spans="2:5" ht="15.75" thickBot="1">
      <c r="B84" s="310"/>
      <c r="C84" s="310"/>
      <c r="D84" s="310"/>
      <c r="E84" s="200" t="s">
        <v>449</v>
      </c>
    </row>
  </sheetData>
  <mergeCells count="11">
    <mergeCell ref="B83:B84"/>
    <mergeCell ref="C83:C84"/>
    <mergeCell ref="D83:D84"/>
    <mergeCell ref="G55:I55"/>
    <mergeCell ref="C18:E18"/>
    <mergeCell ref="B38:B45"/>
    <mergeCell ref="G4:G12"/>
    <mergeCell ref="B32:B37"/>
    <mergeCell ref="D32:D34"/>
    <mergeCell ref="D35:D36"/>
    <mergeCell ref="B31:D31"/>
  </mergeCells>
  <phoneticPr fontId="16" type="noConversion"/>
  <conditionalFormatting sqref="D24">
    <cfRule type="cellIs" dxfId="503" priority="4" operator="greaterThan">
      <formula>7</formula>
    </cfRule>
  </conditionalFormatting>
  <conditionalFormatting sqref="D25">
    <cfRule type="cellIs" dxfId="502" priority="3" operator="greaterThan">
      <formula>31</formula>
    </cfRule>
  </conditionalFormatting>
  <conditionalFormatting sqref="D26">
    <cfRule type="cellIs" dxfId="501" priority="2" operator="greaterThan">
      <formula>6</formula>
    </cfRule>
  </conditionalFormatting>
  <conditionalFormatting sqref="D27">
    <cfRule type="cellIs" dxfId="500" priority="1" operator="greaterThan">
      <formula>10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N112"/>
  <sheetViews>
    <sheetView topLeftCell="A12" zoomScale="70" zoomScaleNormal="70" workbookViewId="0">
      <selection activeCell="I101" sqref="I101"/>
    </sheetView>
  </sheetViews>
  <sheetFormatPr baseColWidth="10" defaultColWidth="11.42578125" defaultRowHeight="15"/>
  <cols>
    <col min="1" max="1" width="6.28515625" customWidth="1"/>
    <col min="2" max="2" width="3.28515625" customWidth="1"/>
    <col min="3" max="3" width="4.7109375" customWidth="1"/>
    <col min="4" max="5" width="6" bestFit="1" customWidth="1"/>
    <col min="6" max="6" width="7.28515625" bestFit="1" customWidth="1"/>
    <col min="7" max="7" width="6.7109375" bestFit="1" customWidth="1"/>
    <col min="8" max="8" width="34.7109375" customWidth="1"/>
    <col min="9" max="9" width="19.85546875" customWidth="1"/>
    <col min="10" max="10" width="7" customWidth="1"/>
    <col min="11" max="11" width="2.42578125" customWidth="1"/>
    <col min="12" max="12" width="4.7109375" customWidth="1"/>
    <col min="13" max="13" width="6.28515625" customWidth="1"/>
    <col min="14" max="14" width="6" bestFit="1" customWidth="1"/>
    <col min="15" max="15" width="7.28515625" bestFit="1" customWidth="1"/>
    <col min="16" max="16" width="6.7109375" bestFit="1" customWidth="1"/>
    <col min="17" max="17" width="18.140625" bestFit="1" customWidth="1"/>
    <col min="18" max="18" width="18" customWidth="1"/>
    <col min="19" max="19" width="6.7109375" customWidth="1"/>
    <col min="20" max="20" width="2.7109375" customWidth="1"/>
    <col min="21" max="21" width="7.28515625" customWidth="1"/>
    <col min="22" max="22" width="6.7109375" customWidth="1"/>
    <col min="23" max="23" width="6" bestFit="1" customWidth="1"/>
    <col min="24" max="24" width="7.28515625" bestFit="1" customWidth="1"/>
    <col min="25" max="25" width="6.7109375" bestFit="1" customWidth="1"/>
    <col min="26" max="26" width="18.140625" bestFit="1" customWidth="1"/>
    <col min="27" max="27" width="13.42578125" bestFit="1" customWidth="1"/>
    <col min="28" max="28" width="6.5703125" customWidth="1"/>
    <col min="29" max="29" width="2.7109375" customWidth="1"/>
    <col min="30" max="30" width="4.7109375" customWidth="1"/>
    <col min="31" max="31" width="6.7109375" customWidth="1"/>
    <col min="32" max="32" width="6" bestFit="1" customWidth="1"/>
    <col min="33" max="33" width="7.28515625" bestFit="1" customWidth="1"/>
    <col min="34" max="34" width="6.7109375" bestFit="1" customWidth="1"/>
    <col min="35" max="35" width="18.140625" bestFit="1" customWidth="1"/>
    <col min="36" max="36" width="11.85546875" customWidth="1"/>
    <col min="37" max="38" width="6.7109375" customWidth="1"/>
    <col min="39" max="39" width="6" bestFit="1" customWidth="1"/>
    <col min="40" max="40" width="7.28515625" bestFit="1" customWidth="1"/>
    <col min="41" max="41" width="6.7109375" bestFit="1" customWidth="1"/>
    <col min="42" max="42" width="22.85546875" customWidth="1"/>
    <col min="43" max="43" width="14.42578125" customWidth="1"/>
    <col min="44" max="44" width="6.28515625" customWidth="1"/>
    <col min="45" max="45" width="2.7109375" customWidth="1"/>
    <col min="46" max="46" width="4.7109375" customWidth="1"/>
    <col min="47" max="47" width="5.42578125" customWidth="1"/>
    <col min="48" max="48" width="6" bestFit="1" customWidth="1"/>
    <col min="49" max="49" width="7.28515625" bestFit="1" customWidth="1"/>
    <col min="50" max="50" width="6.7109375" bestFit="1" customWidth="1"/>
    <col min="51" max="51" width="18.140625" bestFit="1" customWidth="1"/>
    <col min="52" max="52" width="9.5703125" bestFit="1" customWidth="1"/>
    <col min="53" max="53" width="6.42578125" customWidth="1"/>
    <col min="54" max="54" width="2.7109375" customWidth="1"/>
    <col min="55" max="55" width="4.7109375" customWidth="1"/>
    <col min="56" max="56" width="5.42578125" customWidth="1"/>
    <col min="57" max="57" width="6" bestFit="1" customWidth="1"/>
    <col min="58" max="58" width="7.28515625" bestFit="1" customWidth="1"/>
    <col min="59" max="59" width="6.7109375" bestFit="1" customWidth="1"/>
    <col min="60" max="60" width="20.28515625" bestFit="1" customWidth="1"/>
    <col min="61" max="61" width="10.7109375" bestFit="1" customWidth="1"/>
    <col min="62" max="62" width="6.5703125" customWidth="1"/>
    <col min="63" max="63" width="2.7109375" customWidth="1"/>
    <col min="64" max="64" width="4.7109375" customWidth="1"/>
    <col min="65" max="65" width="5.7109375" customWidth="1"/>
    <col min="66" max="66" width="6" bestFit="1" customWidth="1"/>
    <col min="67" max="67" width="7.28515625" bestFit="1" customWidth="1"/>
    <col min="68" max="68" width="6.7109375" bestFit="1" customWidth="1"/>
    <col min="69" max="69" width="18.140625" bestFit="1" customWidth="1"/>
    <col min="70" max="70" width="9.5703125" bestFit="1" customWidth="1"/>
    <col min="71" max="71" width="6.7109375" customWidth="1"/>
    <col min="72" max="72" width="2.7109375" customWidth="1"/>
    <col min="73" max="73" width="4.7109375" customWidth="1"/>
    <col min="74" max="74" width="5.42578125" customWidth="1"/>
    <col min="75" max="75" width="6" bestFit="1" customWidth="1"/>
    <col min="76" max="76" width="7.28515625" bestFit="1" customWidth="1"/>
    <col min="77" max="77" width="6.7109375" bestFit="1" customWidth="1"/>
    <col min="78" max="78" width="20.28515625" bestFit="1" customWidth="1"/>
    <col min="79" max="79" width="10.7109375" bestFit="1" customWidth="1"/>
    <col min="80" max="80" width="7.42578125" customWidth="1"/>
    <col min="81" max="81" width="2.7109375" customWidth="1"/>
    <col min="82" max="82" width="4.7109375" customWidth="1"/>
    <col min="83" max="83" width="6.42578125" customWidth="1"/>
    <col min="84" max="84" width="6" bestFit="1" customWidth="1"/>
    <col min="85" max="85" width="7.28515625" bestFit="1" customWidth="1"/>
    <col min="86" max="86" width="6.7109375" bestFit="1" customWidth="1"/>
    <col min="87" max="87" width="18.140625" bestFit="1" customWidth="1"/>
    <col min="88" max="88" width="16.85546875" customWidth="1"/>
    <col min="89" max="89" width="7.140625" customWidth="1"/>
    <col min="90" max="90" width="2.7109375" customWidth="1"/>
    <col min="91" max="91" width="4.7109375" customWidth="1"/>
    <col min="92" max="92" width="5.42578125" customWidth="1"/>
    <col min="93" max="93" width="6" bestFit="1" customWidth="1"/>
    <col min="94" max="94" width="7.28515625" bestFit="1" customWidth="1"/>
    <col min="95" max="95" width="6.7109375" bestFit="1" customWidth="1"/>
    <col min="96" max="96" width="20.28515625" bestFit="1" customWidth="1"/>
    <col min="97" max="97" width="10.7109375" bestFit="1" customWidth="1"/>
    <col min="98" max="98" width="6" customWidth="1"/>
    <col min="99" max="99" width="3.28515625" customWidth="1"/>
    <col min="100" max="100" width="4.7109375" customWidth="1"/>
    <col min="101" max="101" width="6.42578125" customWidth="1"/>
    <col min="102" max="102" width="6" bestFit="1" customWidth="1"/>
    <col min="103" max="103" width="7.28515625" bestFit="1" customWidth="1"/>
    <col min="104" max="104" width="6.7109375" bestFit="1" customWidth="1"/>
    <col min="105" max="105" width="18.140625" bestFit="1" customWidth="1"/>
    <col min="106" max="106" width="15.42578125" customWidth="1"/>
    <col min="107" max="107" width="6.7109375" customWidth="1"/>
    <col min="108" max="108" width="2.7109375" customWidth="1"/>
    <col min="109" max="109" width="4.7109375" customWidth="1"/>
    <col min="110" max="110" width="5.42578125" customWidth="1"/>
    <col min="111" max="111" width="6" bestFit="1" customWidth="1"/>
    <col min="112" max="112" width="7.28515625" bestFit="1" customWidth="1"/>
    <col min="113" max="113" width="6.7109375" bestFit="1" customWidth="1"/>
    <col min="114" max="114" width="20.28515625" bestFit="1" customWidth="1"/>
    <col min="115" max="115" width="10.7109375" bestFit="1" customWidth="1"/>
    <col min="116" max="116" width="6" customWidth="1"/>
    <col min="117" max="117" width="3.42578125" customWidth="1"/>
    <col min="118" max="118" width="4.7109375" customWidth="1"/>
    <col min="119" max="119" width="6.42578125" customWidth="1"/>
    <col min="120" max="120" width="6" bestFit="1" customWidth="1"/>
    <col min="121" max="121" width="7.28515625" bestFit="1" customWidth="1"/>
    <col min="122" max="122" width="6.7109375" bestFit="1" customWidth="1"/>
    <col min="123" max="123" width="18.140625" bestFit="1" customWidth="1"/>
    <col min="124" max="124" width="11.5703125" customWidth="1"/>
    <col min="125" max="125" width="6.42578125" customWidth="1"/>
    <col min="126" max="126" width="2.7109375" customWidth="1"/>
    <col min="127" max="127" width="4.7109375" customWidth="1"/>
    <col min="128" max="128" width="5.42578125" customWidth="1"/>
    <col min="129" max="129" width="6" bestFit="1" customWidth="1"/>
    <col min="130" max="130" width="7.28515625" bestFit="1" customWidth="1"/>
    <col min="131" max="131" width="6.7109375" bestFit="1" customWidth="1"/>
    <col min="132" max="132" width="20.28515625" bestFit="1" customWidth="1"/>
    <col min="133" max="133" width="16.5703125" customWidth="1"/>
    <col min="134" max="134" width="6.5703125" customWidth="1"/>
    <col min="135" max="135" width="3.85546875" customWidth="1"/>
    <col min="136" max="136" width="4.7109375" customWidth="1"/>
    <col min="137" max="138" width="6" bestFit="1" customWidth="1"/>
    <col min="139" max="139" width="7.28515625" bestFit="1" customWidth="1"/>
    <col min="140" max="140" width="6.7109375" bestFit="1" customWidth="1"/>
    <col min="141" max="141" width="30.85546875" customWidth="1"/>
    <col min="142" max="142" width="15" customWidth="1"/>
    <col min="143" max="143" width="6.7109375" customWidth="1"/>
  </cols>
  <sheetData>
    <row r="1" spans="30:44"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</row>
    <row r="2" spans="30:44">
      <c r="AD2" s="113"/>
      <c r="AE2" s="113"/>
      <c r="AF2" s="113"/>
      <c r="AG2" s="113"/>
      <c r="AH2" s="113"/>
      <c r="AI2" s="113"/>
      <c r="AJ2" s="113"/>
      <c r="AK2" s="113"/>
      <c r="AL2" s="113"/>
      <c r="AM2" s="113"/>
      <c r="AN2" s="113"/>
      <c r="AO2" s="113"/>
      <c r="AP2" s="113"/>
      <c r="AQ2" s="113"/>
      <c r="AR2" s="113"/>
    </row>
    <row r="3" spans="30:44">
      <c r="AD3" s="113"/>
      <c r="AE3" s="113"/>
      <c r="AF3" s="113"/>
      <c r="AG3" s="113"/>
      <c r="AH3" s="113"/>
      <c r="AI3" s="113"/>
      <c r="AJ3" s="113"/>
      <c r="AK3" s="113"/>
      <c r="AL3" s="113"/>
      <c r="AM3" s="113"/>
      <c r="AN3" s="113"/>
      <c r="AO3" s="113"/>
      <c r="AP3" s="113"/>
      <c r="AQ3" s="113"/>
      <c r="AR3" s="113"/>
    </row>
    <row r="4" spans="30:44">
      <c r="AD4" s="113"/>
      <c r="AE4" s="113"/>
      <c r="AF4" s="113"/>
      <c r="AG4" s="113"/>
      <c r="AH4" s="113"/>
      <c r="AI4" s="113"/>
      <c r="AJ4" s="113"/>
      <c r="AK4" s="113"/>
      <c r="AL4" s="113"/>
      <c r="AM4" s="113"/>
      <c r="AN4" s="113"/>
      <c r="AO4" s="113"/>
      <c r="AP4" s="113"/>
      <c r="AQ4" s="113"/>
      <c r="AR4" s="113"/>
    </row>
    <row r="5" spans="30:44">
      <c r="AD5" s="113"/>
      <c r="AE5" s="113"/>
      <c r="AF5" s="113"/>
      <c r="AG5" s="113"/>
      <c r="AH5" s="113"/>
      <c r="AI5" s="113"/>
      <c r="AJ5" s="113"/>
      <c r="AK5" s="113"/>
      <c r="AL5" s="113"/>
      <c r="AM5" s="113"/>
      <c r="AN5" s="113"/>
      <c r="AO5" s="113"/>
      <c r="AP5" s="113"/>
      <c r="AQ5" s="113"/>
      <c r="AR5" s="113"/>
    </row>
    <row r="6" spans="30:44">
      <c r="AD6" s="113"/>
      <c r="AE6" s="113"/>
      <c r="AF6" s="113"/>
      <c r="AG6" s="113"/>
      <c r="AH6" s="113"/>
      <c r="AI6" s="113"/>
      <c r="AJ6" s="113"/>
      <c r="AK6" s="113"/>
      <c r="AL6" s="113"/>
      <c r="AM6" s="113"/>
      <c r="AN6" s="113"/>
      <c r="AO6" s="113"/>
      <c r="AP6" s="113"/>
      <c r="AQ6" s="113"/>
      <c r="AR6" s="113"/>
    </row>
    <row r="7" spans="30:44">
      <c r="AD7" s="113"/>
      <c r="AE7" s="113"/>
      <c r="AF7" s="113"/>
      <c r="AG7" s="113"/>
      <c r="AH7" s="113"/>
      <c r="AI7" s="113"/>
      <c r="AJ7" s="113"/>
      <c r="AK7" s="113"/>
      <c r="AL7" s="113"/>
      <c r="AM7" s="113"/>
      <c r="AN7" s="113"/>
      <c r="AO7" s="113"/>
      <c r="AP7" s="113"/>
      <c r="AQ7" s="113"/>
      <c r="AR7" s="113"/>
    </row>
    <row r="8" spans="30:44">
      <c r="AD8" s="113"/>
      <c r="AE8" s="113"/>
      <c r="AF8" s="113"/>
      <c r="AG8" s="113"/>
      <c r="AH8" s="113"/>
      <c r="AI8" s="113"/>
      <c r="AJ8" s="113"/>
      <c r="AK8" s="113"/>
      <c r="AL8" s="113"/>
      <c r="AM8" s="113"/>
      <c r="AN8" s="113"/>
      <c r="AO8" s="113"/>
      <c r="AP8" s="113"/>
      <c r="AQ8" s="113"/>
      <c r="AR8" s="113"/>
    </row>
    <row r="9" spans="30:44">
      <c r="AD9" s="113"/>
      <c r="AE9" s="113"/>
      <c r="AF9" s="113"/>
      <c r="AG9" s="113"/>
      <c r="AH9" s="113"/>
      <c r="AI9" s="113"/>
      <c r="AJ9" s="113"/>
      <c r="AK9" s="113"/>
      <c r="AL9" s="113"/>
      <c r="AM9" s="113"/>
      <c r="AN9" s="113"/>
      <c r="AO9" s="113"/>
      <c r="AP9" s="113"/>
      <c r="AQ9" s="113"/>
      <c r="AR9" s="113"/>
    </row>
    <row r="10" spans="30:44">
      <c r="AD10" s="113"/>
      <c r="AE10" s="113"/>
      <c r="AF10" s="113"/>
      <c r="AG10" s="113"/>
      <c r="AH10" s="113"/>
      <c r="AI10" s="113"/>
      <c r="AJ10" s="113"/>
      <c r="AK10" s="113"/>
      <c r="AL10" s="113"/>
      <c r="AM10" s="113"/>
      <c r="AN10" s="113"/>
      <c r="AO10" s="113"/>
      <c r="AP10" s="113"/>
      <c r="AQ10" s="113"/>
      <c r="AR10" s="113"/>
    </row>
    <row r="11" spans="30:44">
      <c r="AD11" s="113"/>
      <c r="AE11" s="113"/>
      <c r="AF11" s="113"/>
      <c r="AG11" s="113"/>
      <c r="AH11" s="113"/>
      <c r="AI11" s="113"/>
      <c r="AJ11" s="113"/>
      <c r="AK11" s="113"/>
      <c r="AL11" s="113"/>
      <c r="AM11" s="113"/>
      <c r="AN11" s="113"/>
      <c r="AO11" s="113"/>
      <c r="AP11" s="113"/>
      <c r="AQ11" s="113"/>
      <c r="AR11" s="113"/>
    </row>
    <row r="12" spans="30:44">
      <c r="AD12" s="113"/>
      <c r="AE12" s="113"/>
      <c r="AF12" s="113"/>
      <c r="AG12" s="113"/>
      <c r="AH12" s="113"/>
      <c r="AI12" s="113"/>
      <c r="AJ12" s="113"/>
      <c r="AK12" s="113"/>
      <c r="AL12" s="113"/>
      <c r="AM12" s="113"/>
      <c r="AN12" s="113"/>
      <c r="AO12" s="113"/>
      <c r="AP12" s="113"/>
      <c r="AQ12" s="113"/>
      <c r="AR12" s="113"/>
    </row>
    <row r="13" spans="30:44">
      <c r="AD13" s="113"/>
      <c r="AE13" s="113"/>
      <c r="AF13" s="113"/>
      <c r="AG13" s="113"/>
      <c r="AH13" s="113"/>
      <c r="AI13" s="113"/>
      <c r="AJ13" s="113"/>
      <c r="AK13" s="113"/>
      <c r="AL13" s="113"/>
      <c r="AM13" s="113"/>
      <c r="AN13" s="113"/>
      <c r="AO13" s="113"/>
      <c r="AP13" s="113"/>
      <c r="AQ13" s="113"/>
      <c r="AR13" s="113"/>
    </row>
    <row r="14" spans="30:44">
      <c r="AD14" s="113"/>
      <c r="AE14" s="113"/>
      <c r="AF14" s="113"/>
      <c r="AG14" s="113"/>
      <c r="AH14" s="113"/>
      <c r="AI14" s="113"/>
      <c r="AJ14" s="113"/>
      <c r="AK14" s="113"/>
      <c r="AL14" s="113"/>
      <c r="AM14" s="113"/>
      <c r="AN14" s="113"/>
      <c r="AO14" s="113"/>
      <c r="AP14" s="113"/>
      <c r="AQ14" s="113"/>
      <c r="AR14" s="113"/>
    </row>
    <row r="15" spans="30:44">
      <c r="AD15" s="113"/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13"/>
      <c r="AP15" s="113"/>
      <c r="AQ15" s="113"/>
      <c r="AR15" s="113"/>
    </row>
    <row r="16" spans="30:44">
      <c r="AD16" s="113"/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13"/>
      <c r="AP16" s="113"/>
      <c r="AQ16" s="113"/>
      <c r="AR16" s="113"/>
    </row>
    <row r="17" spans="1:144" ht="15.75" thickBot="1">
      <c r="AD17" s="113"/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13"/>
      <c r="AP17" s="113"/>
      <c r="AQ17" s="113"/>
      <c r="AR17" s="113"/>
    </row>
    <row r="18" spans="1:144" ht="15.75" thickBot="1">
      <c r="A18" s="318" t="s">
        <v>227</v>
      </c>
      <c r="B18" s="92"/>
      <c r="C18" s="96"/>
      <c r="D18" s="96"/>
      <c r="E18" s="96"/>
      <c r="F18" s="96"/>
      <c r="G18" s="96"/>
      <c r="H18" s="96"/>
      <c r="I18" s="96"/>
      <c r="J18" s="96"/>
      <c r="K18" s="96"/>
      <c r="L18" s="96"/>
      <c r="M18" s="96"/>
      <c r="N18" s="96"/>
      <c r="O18" s="96"/>
      <c r="P18" s="96"/>
      <c r="Q18" s="96"/>
      <c r="R18" s="96"/>
      <c r="S18" s="96"/>
      <c r="T18" s="96"/>
      <c r="U18" s="96"/>
      <c r="V18" s="96"/>
      <c r="W18" s="96"/>
      <c r="X18" s="96"/>
      <c r="Y18" s="96"/>
      <c r="Z18" s="96"/>
      <c r="AA18" s="96"/>
      <c r="AB18" s="96"/>
      <c r="AC18" s="96"/>
      <c r="AD18" s="96"/>
      <c r="AE18" s="96"/>
      <c r="AF18" s="96"/>
      <c r="AG18" s="96"/>
      <c r="AH18" s="96"/>
      <c r="AI18" s="96"/>
      <c r="AJ18" s="96"/>
      <c r="AK18" s="96"/>
      <c r="AL18" s="96"/>
      <c r="AM18" s="96"/>
      <c r="AN18" s="96"/>
      <c r="AO18" s="96"/>
      <c r="AP18" s="96"/>
      <c r="AQ18" s="96"/>
      <c r="AR18" s="96"/>
      <c r="AS18" s="96"/>
      <c r="AT18" s="96"/>
      <c r="AU18" s="96"/>
      <c r="AV18" s="96"/>
      <c r="AW18" s="96"/>
      <c r="AX18" s="96"/>
      <c r="AY18" s="96"/>
      <c r="AZ18" s="96"/>
      <c r="BA18" s="96"/>
      <c r="BB18" s="96"/>
      <c r="BC18" s="96"/>
      <c r="BD18" s="96"/>
      <c r="BE18" s="96"/>
      <c r="BF18" s="96"/>
      <c r="BG18" s="96"/>
      <c r="BH18" s="96"/>
      <c r="BI18" s="96"/>
      <c r="BJ18" s="96"/>
      <c r="BK18" s="96"/>
      <c r="BL18" s="96"/>
      <c r="BM18" s="96"/>
      <c r="BN18" s="96"/>
      <c r="BO18" s="96"/>
      <c r="BP18" s="96"/>
      <c r="BQ18" s="96"/>
      <c r="BR18" s="96"/>
      <c r="BS18" s="96"/>
      <c r="BT18" s="96"/>
      <c r="BU18" s="96"/>
      <c r="BV18" s="96"/>
      <c r="BW18" s="96"/>
      <c r="BX18" s="96"/>
      <c r="BY18" s="96"/>
      <c r="BZ18" s="96"/>
      <c r="CA18" s="96"/>
      <c r="CB18" s="96"/>
      <c r="CC18" s="96"/>
      <c r="CD18" s="96"/>
      <c r="CE18" s="96"/>
      <c r="CF18" s="96"/>
      <c r="CG18" s="96"/>
      <c r="CH18" s="96"/>
      <c r="CI18" s="96"/>
      <c r="CJ18" s="96"/>
      <c r="CK18" s="96"/>
      <c r="CL18" s="96"/>
      <c r="CM18" s="96"/>
      <c r="CN18" s="96"/>
      <c r="CO18" s="96"/>
      <c r="CP18" s="96"/>
      <c r="CQ18" s="96"/>
      <c r="CR18" s="96"/>
      <c r="CS18" s="96"/>
      <c r="CT18" s="96"/>
      <c r="CU18" s="96"/>
      <c r="CV18" s="96"/>
      <c r="CW18" s="96"/>
      <c r="CX18" s="96"/>
      <c r="CY18" s="96"/>
      <c r="CZ18" s="96"/>
      <c r="DA18" s="96"/>
      <c r="DB18" s="96"/>
      <c r="DC18" s="96"/>
      <c r="DD18" s="96"/>
      <c r="DE18" s="96"/>
      <c r="DF18" s="96"/>
      <c r="DG18" s="96"/>
      <c r="DH18" s="96"/>
      <c r="DI18" s="96"/>
      <c r="DJ18" s="96"/>
      <c r="DK18" s="96"/>
      <c r="DL18" s="96"/>
      <c r="DM18" s="96"/>
      <c r="DN18" s="96"/>
      <c r="DO18" s="96"/>
      <c r="DP18" s="96"/>
      <c r="DQ18" s="96"/>
      <c r="DR18" s="96"/>
      <c r="DS18" s="96"/>
      <c r="DT18" s="96"/>
      <c r="DU18" s="96"/>
      <c r="DV18" s="96"/>
      <c r="DW18" s="96"/>
      <c r="DX18" s="96"/>
      <c r="DY18" s="96"/>
      <c r="DZ18" s="96"/>
      <c r="EA18" s="96"/>
      <c r="EB18" s="96"/>
      <c r="EC18" s="96"/>
      <c r="ED18" s="96"/>
      <c r="EE18" s="96"/>
      <c r="EF18" s="96"/>
      <c r="EG18" s="96"/>
      <c r="EH18" s="96"/>
      <c r="EI18" s="96"/>
      <c r="EJ18" s="96"/>
      <c r="EK18" s="96"/>
      <c r="EL18" s="96"/>
      <c r="EM18" s="96"/>
      <c r="EN18" s="94"/>
    </row>
    <row r="19" spans="1:144" ht="15.75" thickBot="1">
      <c r="A19" s="319"/>
      <c r="B19" s="93"/>
      <c r="C19" s="91"/>
      <c r="D19" s="324" t="s">
        <v>228</v>
      </c>
      <c r="E19" s="325"/>
      <c r="F19" s="325"/>
      <c r="G19" s="326"/>
      <c r="H19" s="20">
        <v>1</v>
      </c>
      <c r="I19" s="98"/>
      <c r="J19" s="98"/>
      <c r="K19" s="98"/>
      <c r="L19" s="98"/>
      <c r="M19" s="324" t="s">
        <v>228</v>
      </c>
      <c r="N19" s="325"/>
      <c r="O19" s="325"/>
      <c r="P19" s="326"/>
      <c r="Q19" s="20">
        <v>2</v>
      </c>
      <c r="R19" s="98"/>
      <c r="S19" s="98"/>
      <c r="T19" s="98"/>
      <c r="U19" s="98"/>
      <c r="V19" s="324" t="s">
        <v>228</v>
      </c>
      <c r="W19" s="325"/>
      <c r="X19" s="325"/>
      <c r="Y19" s="326"/>
      <c r="Z19" s="20">
        <v>3</v>
      </c>
      <c r="AA19" s="98"/>
      <c r="AB19" s="98"/>
      <c r="AC19" s="98"/>
      <c r="AD19" s="98"/>
      <c r="AE19" s="324" t="s">
        <v>228</v>
      </c>
      <c r="AF19" s="325"/>
      <c r="AG19" s="325"/>
      <c r="AH19" s="326"/>
      <c r="AI19" s="20">
        <v>22</v>
      </c>
      <c r="AJ19" s="98"/>
      <c r="AK19" s="98"/>
      <c r="AL19" s="90"/>
      <c r="AM19" s="90"/>
      <c r="AN19" s="90"/>
      <c r="AO19" s="90"/>
      <c r="AP19" s="99"/>
      <c r="AQ19" s="98"/>
      <c r="AR19" s="98"/>
      <c r="AS19" s="98"/>
      <c r="AT19" s="98"/>
      <c r="AU19" s="324" t="s">
        <v>228</v>
      </c>
      <c r="AV19" s="325"/>
      <c r="AW19" s="325"/>
      <c r="AX19" s="326"/>
      <c r="AY19" s="20">
        <v>5</v>
      </c>
      <c r="AZ19" s="98"/>
      <c r="BA19" s="98"/>
      <c r="BB19" s="98"/>
      <c r="BC19" s="98"/>
      <c r="BD19" s="324" t="s">
        <v>228</v>
      </c>
      <c r="BE19" s="325"/>
      <c r="BF19" s="325"/>
      <c r="BG19" s="326"/>
      <c r="BH19" s="20">
        <v>6</v>
      </c>
      <c r="BI19" s="98"/>
      <c r="BJ19" s="98"/>
      <c r="BK19" s="98"/>
      <c r="BL19" s="98"/>
      <c r="BM19" s="324" t="s">
        <v>228</v>
      </c>
      <c r="BN19" s="325"/>
      <c r="BO19" s="325"/>
      <c r="BP19" s="326"/>
      <c r="BQ19" s="20">
        <v>7</v>
      </c>
      <c r="BR19" s="98"/>
      <c r="BS19" s="98"/>
      <c r="BT19" s="98"/>
      <c r="BU19" s="98"/>
      <c r="BV19" s="324" t="s">
        <v>228</v>
      </c>
      <c r="BW19" s="325"/>
      <c r="BX19" s="325"/>
      <c r="BY19" s="326"/>
      <c r="BZ19" s="20">
        <v>8</v>
      </c>
      <c r="CA19" s="98"/>
      <c r="CB19" s="98"/>
      <c r="CC19" s="98"/>
      <c r="CD19" s="98"/>
      <c r="CE19" s="324" t="s">
        <v>228</v>
      </c>
      <c r="CF19" s="325"/>
      <c r="CG19" s="325"/>
      <c r="CH19" s="326"/>
      <c r="CI19" s="20">
        <v>9</v>
      </c>
      <c r="CJ19" s="98"/>
      <c r="CK19" s="98"/>
      <c r="CL19" s="98"/>
      <c r="CM19" s="98"/>
      <c r="CN19" s="324" t="s">
        <v>228</v>
      </c>
      <c r="CO19" s="325"/>
      <c r="CP19" s="325"/>
      <c r="CQ19" s="326"/>
      <c r="CR19" s="20">
        <v>10</v>
      </c>
      <c r="CS19" s="98"/>
      <c r="CT19" s="98"/>
      <c r="CU19" s="98"/>
      <c r="CV19" s="98"/>
      <c r="CW19" s="324" t="s">
        <v>228</v>
      </c>
      <c r="CX19" s="325"/>
      <c r="CY19" s="325"/>
      <c r="CZ19" s="326"/>
      <c r="DA19" s="20">
        <v>11</v>
      </c>
      <c r="DB19" s="98"/>
      <c r="DC19" s="98"/>
      <c r="DD19" s="98"/>
      <c r="DE19" s="98"/>
      <c r="DF19" s="324" t="s">
        <v>228</v>
      </c>
      <c r="DG19" s="325"/>
      <c r="DH19" s="325"/>
      <c r="DI19" s="326"/>
      <c r="DJ19" s="20">
        <v>12</v>
      </c>
      <c r="DK19" s="98"/>
      <c r="DL19" s="98"/>
      <c r="DM19" s="98"/>
      <c r="DN19" s="98"/>
      <c r="DO19" s="324" t="s">
        <v>228</v>
      </c>
      <c r="DP19" s="325"/>
      <c r="DQ19" s="325"/>
      <c r="DR19" s="326"/>
      <c r="DS19" s="20">
        <v>13</v>
      </c>
      <c r="DT19" s="98"/>
      <c r="DU19" s="98"/>
      <c r="DV19" s="98"/>
      <c r="DW19" s="98"/>
      <c r="DX19" s="324" t="s">
        <v>228</v>
      </c>
      <c r="DY19" s="325"/>
      <c r="DZ19" s="325"/>
      <c r="EA19" s="326"/>
      <c r="EB19" s="20">
        <v>14</v>
      </c>
      <c r="EC19" s="98"/>
      <c r="ED19" s="98"/>
      <c r="EE19" s="98"/>
      <c r="EF19" s="98"/>
      <c r="EG19" s="324" t="s">
        <v>228</v>
      </c>
      <c r="EH19" s="325"/>
      <c r="EI19" s="325"/>
      <c r="EJ19" s="326"/>
      <c r="EK19" s="20">
        <v>15</v>
      </c>
      <c r="EL19" s="97"/>
      <c r="EM19" s="90"/>
      <c r="EN19" s="95"/>
    </row>
    <row r="20" spans="1:144" ht="15.75" thickBot="1">
      <c r="A20" s="319"/>
      <c r="B20" s="93"/>
      <c r="C20" s="327" t="s">
        <v>229</v>
      </c>
      <c r="D20" s="328"/>
      <c r="E20" s="328"/>
      <c r="F20" s="328"/>
      <c r="G20" s="328"/>
      <c r="H20" s="328"/>
      <c r="I20" s="328"/>
      <c r="J20" s="85"/>
      <c r="K20" s="95"/>
      <c r="L20" s="327" t="s">
        <v>230</v>
      </c>
      <c r="M20" s="328"/>
      <c r="N20" s="328"/>
      <c r="O20" s="328"/>
      <c r="P20" s="328"/>
      <c r="Q20" s="328"/>
      <c r="R20" s="328"/>
      <c r="S20" s="334"/>
      <c r="T20" s="98"/>
      <c r="U20" s="327" t="s">
        <v>231</v>
      </c>
      <c r="V20" s="328"/>
      <c r="W20" s="328"/>
      <c r="X20" s="328"/>
      <c r="Y20" s="328"/>
      <c r="Z20" s="328"/>
      <c r="AA20" s="328"/>
      <c r="AB20" s="334"/>
      <c r="AC20" s="98"/>
      <c r="AD20" s="327" t="s">
        <v>232</v>
      </c>
      <c r="AE20" s="328"/>
      <c r="AF20" s="328"/>
      <c r="AG20" s="328"/>
      <c r="AH20" s="328"/>
      <c r="AI20" s="328"/>
      <c r="AJ20" s="332"/>
      <c r="AK20" s="332"/>
      <c r="AL20" s="332"/>
      <c r="AM20" s="332"/>
      <c r="AN20" s="332"/>
      <c r="AO20" s="332"/>
      <c r="AP20" s="332"/>
      <c r="AQ20" s="332"/>
      <c r="AR20" s="333"/>
      <c r="AS20" s="98"/>
      <c r="AT20" s="327" t="s">
        <v>233</v>
      </c>
      <c r="AU20" s="328"/>
      <c r="AV20" s="328"/>
      <c r="AW20" s="328"/>
      <c r="AX20" s="328"/>
      <c r="AY20" s="328"/>
      <c r="AZ20" s="328"/>
      <c r="BA20" s="334"/>
      <c r="BB20" s="98"/>
      <c r="BC20" s="327" t="s">
        <v>234</v>
      </c>
      <c r="BD20" s="328"/>
      <c r="BE20" s="328"/>
      <c r="BF20" s="328"/>
      <c r="BG20" s="328"/>
      <c r="BH20" s="328"/>
      <c r="BI20" s="328"/>
      <c r="BJ20" s="334"/>
      <c r="BK20" s="98"/>
      <c r="BL20" s="327" t="s">
        <v>233</v>
      </c>
      <c r="BM20" s="328"/>
      <c r="BN20" s="328"/>
      <c r="BO20" s="328"/>
      <c r="BP20" s="328"/>
      <c r="BQ20" s="328"/>
      <c r="BR20" s="328"/>
      <c r="BS20" s="334"/>
      <c r="BT20" s="98"/>
      <c r="BU20" s="327" t="s">
        <v>234</v>
      </c>
      <c r="BV20" s="328"/>
      <c r="BW20" s="328"/>
      <c r="BX20" s="328"/>
      <c r="BY20" s="328"/>
      <c r="BZ20" s="328"/>
      <c r="CA20" s="328"/>
      <c r="CB20" s="334"/>
      <c r="CC20" s="98"/>
      <c r="CD20" s="327" t="s">
        <v>233</v>
      </c>
      <c r="CE20" s="328"/>
      <c r="CF20" s="328"/>
      <c r="CG20" s="328"/>
      <c r="CH20" s="328"/>
      <c r="CI20" s="328"/>
      <c r="CJ20" s="328"/>
      <c r="CK20" s="334"/>
      <c r="CL20" s="98"/>
      <c r="CM20" s="327" t="s">
        <v>234</v>
      </c>
      <c r="CN20" s="328"/>
      <c r="CO20" s="328"/>
      <c r="CP20" s="328"/>
      <c r="CQ20" s="328"/>
      <c r="CR20" s="328"/>
      <c r="CS20" s="328"/>
      <c r="CT20" s="334"/>
      <c r="CU20" s="98"/>
      <c r="CV20" s="327" t="s">
        <v>233</v>
      </c>
      <c r="CW20" s="328"/>
      <c r="CX20" s="328"/>
      <c r="CY20" s="328"/>
      <c r="CZ20" s="328"/>
      <c r="DA20" s="328"/>
      <c r="DB20" s="328"/>
      <c r="DC20" s="334"/>
      <c r="DD20" s="98"/>
      <c r="DE20" s="327" t="s">
        <v>234</v>
      </c>
      <c r="DF20" s="328"/>
      <c r="DG20" s="328"/>
      <c r="DH20" s="328"/>
      <c r="DI20" s="328"/>
      <c r="DJ20" s="328"/>
      <c r="DK20" s="328"/>
      <c r="DL20" s="334"/>
      <c r="DM20" s="98"/>
      <c r="DN20" s="327" t="s">
        <v>233</v>
      </c>
      <c r="DO20" s="328"/>
      <c r="DP20" s="328"/>
      <c r="DQ20" s="328"/>
      <c r="DR20" s="328"/>
      <c r="DS20" s="328"/>
      <c r="DT20" s="328"/>
      <c r="DU20" s="334"/>
      <c r="DV20" s="98"/>
      <c r="DW20" s="327" t="s">
        <v>234</v>
      </c>
      <c r="DX20" s="328"/>
      <c r="DY20" s="328"/>
      <c r="DZ20" s="328"/>
      <c r="EA20" s="328"/>
      <c r="EB20" s="328"/>
      <c r="EC20" s="328"/>
      <c r="ED20" s="334"/>
      <c r="EE20" s="98"/>
      <c r="EF20" s="338" t="s">
        <v>229</v>
      </c>
      <c r="EG20" s="339"/>
      <c r="EH20" s="339"/>
      <c r="EI20" s="339"/>
      <c r="EJ20" s="339"/>
      <c r="EK20" s="339"/>
      <c r="EL20" s="339"/>
      <c r="EM20" s="340"/>
      <c r="EN20" s="95"/>
    </row>
    <row r="21" spans="1:144" ht="15.75" thickBot="1">
      <c r="A21" s="319"/>
      <c r="B21" s="93"/>
      <c r="C21" s="12"/>
      <c r="D21" s="10"/>
      <c r="E21" s="10"/>
      <c r="F21" s="10"/>
      <c r="G21" s="10"/>
      <c r="H21" s="10"/>
      <c r="I21" s="14"/>
      <c r="J21" s="100"/>
      <c r="K21" s="95"/>
      <c r="L21" s="12"/>
      <c r="M21" s="10"/>
      <c r="N21" s="10"/>
      <c r="O21" s="10"/>
      <c r="P21" s="10"/>
      <c r="Q21" s="10"/>
      <c r="R21" s="10"/>
      <c r="S21" s="14"/>
      <c r="T21" s="98"/>
      <c r="U21" s="12"/>
      <c r="V21" s="10"/>
      <c r="W21" s="10"/>
      <c r="X21" s="10"/>
      <c r="Y21" s="10"/>
      <c r="Z21" s="10"/>
      <c r="AA21" s="10"/>
      <c r="AB21" s="14"/>
      <c r="AC21" s="98"/>
      <c r="AD21" s="12"/>
      <c r="AE21" s="10"/>
      <c r="AF21" s="10"/>
      <c r="AG21" s="10"/>
      <c r="AH21" s="10"/>
      <c r="AI21" s="10"/>
      <c r="AJ21" s="10"/>
      <c r="AK21" s="13"/>
      <c r="AL21" s="57"/>
      <c r="AM21" s="57"/>
      <c r="AN21" s="57"/>
      <c r="AO21" s="57"/>
      <c r="AP21" s="57"/>
      <c r="AQ21" s="57"/>
      <c r="AR21" s="14"/>
      <c r="AS21" s="98"/>
      <c r="AT21" s="12"/>
      <c r="AU21" s="10"/>
      <c r="AV21" s="10"/>
      <c r="AW21" s="10"/>
      <c r="AX21" s="10"/>
      <c r="AY21" s="10"/>
      <c r="AZ21" s="10"/>
      <c r="BA21" s="14"/>
      <c r="BB21" s="98"/>
      <c r="BC21" s="12"/>
      <c r="BD21" s="10"/>
      <c r="BE21" s="10"/>
      <c r="BF21" s="10"/>
      <c r="BG21" s="10"/>
      <c r="BH21" s="10"/>
      <c r="BI21" s="10"/>
      <c r="BJ21" s="14"/>
      <c r="BK21" s="98"/>
      <c r="BL21" s="12"/>
      <c r="BM21" s="10"/>
      <c r="BN21" s="10"/>
      <c r="BO21" s="10"/>
      <c r="BP21" s="10"/>
      <c r="BQ21" s="10"/>
      <c r="BR21" s="10"/>
      <c r="BS21" s="14"/>
      <c r="BT21" s="98"/>
      <c r="BU21" s="12"/>
      <c r="BV21" s="10"/>
      <c r="BW21" s="10"/>
      <c r="BX21" s="10"/>
      <c r="BY21" s="10"/>
      <c r="BZ21" s="10"/>
      <c r="CA21" s="10"/>
      <c r="CB21" s="14"/>
      <c r="CC21" s="98"/>
      <c r="CD21" s="12"/>
      <c r="CE21" s="10"/>
      <c r="CF21" s="10"/>
      <c r="CG21" s="10"/>
      <c r="CH21" s="10"/>
      <c r="CI21" s="10"/>
      <c r="CJ21" s="10"/>
      <c r="CK21" s="14"/>
      <c r="CL21" s="98"/>
      <c r="CM21" s="12"/>
      <c r="CN21" s="10"/>
      <c r="CO21" s="10"/>
      <c r="CP21" s="10"/>
      <c r="CQ21" s="10"/>
      <c r="CR21" s="10"/>
      <c r="CS21" s="10"/>
      <c r="CT21" s="14"/>
      <c r="CU21" s="98"/>
      <c r="CV21" s="12"/>
      <c r="CW21" s="10"/>
      <c r="CX21" s="10"/>
      <c r="CY21" s="10"/>
      <c r="CZ21" s="10"/>
      <c r="DA21" s="10"/>
      <c r="DB21" s="10"/>
      <c r="DC21" s="14"/>
      <c r="DD21" s="98"/>
      <c r="DE21" s="12"/>
      <c r="DF21" s="10"/>
      <c r="DG21" s="10"/>
      <c r="DH21" s="10"/>
      <c r="DI21" s="10"/>
      <c r="DJ21" s="10"/>
      <c r="DK21" s="10"/>
      <c r="DL21" s="14"/>
      <c r="DM21" s="98"/>
      <c r="DN21" s="12"/>
      <c r="DO21" s="10"/>
      <c r="DP21" s="10"/>
      <c r="DQ21" s="10"/>
      <c r="DR21" s="10"/>
      <c r="DS21" s="10"/>
      <c r="DT21" s="10"/>
      <c r="DU21" s="14"/>
      <c r="DV21" s="98"/>
      <c r="DW21" s="12"/>
      <c r="DX21" s="10"/>
      <c r="DY21" s="10"/>
      <c r="DZ21" s="10"/>
      <c r="EA21" s="10"/>
      <c r="EB21" s="10"/>
      <c r="EC21" s="10"/>
      <c r="ED21" s="14"/>
      <c r="EE21" s="98"/>
      <c r="EF21" s="83"/>
      <c r="EG21" s="81"/>
      <c r="EH21" s="81"/>
      <c r="EI21" s="81"/>
      <c r="EJ21" s="81"/>
      <c r="EK21" s="81"/>
      <c r="EL21" s="84"/>
      <c r="EM21" s="3"/>
      <c r="EN21" s="95"/>
    </row>
    <row r="22" spans="1:144" s="138" customFormat="1" ht="15.75" thickBot="1">
      <c r="A22" s="319"/>
      <c r="B22" s="128"/>
      <c r="C22" s="129"/>
      <c r="D22" s="130" t="s">
        <v>235</v>
      </c>
      <c r="E22" s="131" t="s">
        <v>187</v>
      </c>
      <c r="F22" s="131" t="s">
        <v>236</v>
      </c>
      <c r="G22" s="131" t="s">
        <v>182</v>
      </c>
      <c r="H22" s="131" t="s">
        <v>186</v>
      </c>
      <c r="I22" s="132" t="s">
        <v>237</v>
      </c>
      <c r="J22" s="132" t="s">
        <v>238</v>
      </c>
      <c r="K22" s="133"/>
      <c r="L22" s="129"/>
      <c r="M22" s="130" t="s">
        <v>235</v>
      </c>
      <c r="N22" s="131" t="s">
        <v>187</v>
      </c>
      <c r="O22" s="131" t="s">
        <v>236</v>
      </c>
      <c r="P22" s="131" t="s">
        <v>182</v>
      </c>
      <c r="Q22" s="131" t="s">
        <v>186</v>
      </c>
      <c r="R22" s="132" t="s">
        <v>237</v>
      </c>
      <c r="S22" s="132" t="s">
        <v>238</v>
      </c>
      <c r="T22" s="134"/>
      <c r="U22" s="129"/>
      <c r="V22" s="130" t="s">
        <v>235</v>
      </c>
      <c r="W22" s="131" t="s">
        <v>187</v>
      </c>
      <c r="X22" s="131" t="s">
        <v>236</v>
      </c>
      <c r="Y22" s="131" t="s">
        <v>182</v>
      </c>
      <c r="Z22" s="131" t="s">
        <v>186</v>
      </c>
      <c r="AA22" s="132" t="s">
        <v>237</v>
      </c>
      <c r="AB22" s="132" t="s">
        <v>238</v>
      </c>
      <c r="AC22" s="134"/>
      <c r="AD22" s="129"/>
      <c r="AE22" s="130" t="s">
        <v>235</v>
      </c>
      <c r="AF22" s="131" t="s">
        <v>187</v>
      </c>
      <c r="AG22" s="131" t="s">
        <v>236</v>
      </c>
      <c r="AH22" s="131" t="s">
        <v>182</v>
      </c>
      <c r="AI22" s="131" t="s">
        <v>186</v>
      </c>
      <c r="AJ22" s="132" t="s">
        <v>237</v>
      </c>
      <c r="AK22" s="132" t="s">
        <v>238</v>
      </c>
      <c r="AL22" s="135" t="s">
        <v>235</v>
      </c>
      <c r="AM22" s="136" t="s">
        <v>187</v>
      </c>
      <c r="AN22" s="136" t="s">
        <v>236</v>
      </c>
      <c r="AO22" s="136" t="s">
        <v>182</v>
      </c>
      <c r="AP22" s="136" t="s">
        <v>186</v>
      </c>
      <c r="AQ22" s="137" t="s">
        <v>237</v>
      </c>
      <c r="AR22" s="132" t="s">
        <v>238</v>
      </c>
      <c r="AS22" s="134"/>
      <c r="AT22" s="129"/>
      <c r="AU22" s="130" t="s">
        <v>235</v>
      </c>
      <c r="AV22" s="131" t="s">
        <v>187</v>
      </c>
      <c r="AW22" s="131" t="s">
        <v>236</v>
      </c>
      <c r="AX22" s="131" t="s">
        <v>182</v>
      </c>
      <c r="AY22" s="131" t="s">
        <v>186</v>
      </c>
      <c r="AZ22" s="132" t="s">
        <v>237</v>
      </c>
      <c r="BA22" s="132" t="s">
        <v>238</v>
      </c>
      <c r="BB22" s="134"/>
      <c r="BC22" s="129"/>
      <c r="BD22" s="130" t="s">
        <v>235</v>
      </c>
      <c r="BE22" s="131" t="s">
        <v>187</v>
      </c>
      <c r="BF22" s="131" t="s">
        <v>236</v>
      </c>
      <c r="BG22" s="131" t="s">
        <v>182</v>
      </c>
      <c r="BH22" s="131" t="s">
        <v>186</v>
      </c>
      <c r="BI22" s="132" t="s">
        <v>237</v>
      </c>
      <c r="BJ22" s="132" t="s">
        <v>238</v>
      </c>
      <c r="BK22" s="134"/>
      <c r="BL22" s="129"/>
      <c r="BM22" s="130" t="s">
        <v>235</v>
      </c>
      <c r="BN22" s="131" t="s">
        <v>187</v>
      </c>
      <c r="BO22" s="131" t="s">
        <v>236</v>
      </c>
      <c r="BP22" s="131" t="s">
        <v>182</v>
      </c>
      <c r="BQ22" s="131" t="s">
        <v>186</v>
      </c>
      <c r="BR22" s="132" t="s">
        <v>237</v>
      </c>
      <c r="BS22" s="132" t="s">
        <v>238</v>
      </c>
      <c r="BT22" s="134"/>
      <c r="BU22" s="129"/>
      <c r="BV22" s="130" t="s">
        <v>235</v>
      </c>
      <c r="BW22" s="131" t="s">
        <v>187</v>
      </c>
      <c r="BX22" s="131" t="s">
        <v>236</v>
      </c>
      <c r="BY22" s="131" t="s">
        <v>182</v>
      </c>
      <c r="BZ22" s="131" t="s">
        <v>186</v>
      </c>
      <c r="CA22" s="132" t="s">
        <v>237</v>
      </c>
      <c r="CB22" s="132" t="s">
        <v>238</v>
      </c>
      <c r="CC22" s="134"/>
      <c r="CD22" s="129"/>
      <c r="CE22" s="130" t="s">
        <v>235</v>
      </c>
      <c r="CF22" s="131" t="s">
        <v>187</v>
      </c>
      <c r="CG22" s="131" t="s">
        <v>236</v>
      </c>
      <c r="CH22" s="131" t="s">
        <v>182</v>
      </c>
      <c r="CI22" s="131" t="s">
        <v>186</v>
      </c>
      <c r="CJ22" s="132" t="s">
        <v>237</v>
      </c>
      <c r="CK22" s="132" t="s">
        <v>238</v>
      </c>
      <c r="CL22" s="134"/>
      <c r="CM22" s="129"/>
      <c r="CN22" s="130" t="s">
        <v>235</v>
      </c>
      <c r="CO22" s="131" t="s">
        <v>187</v>
      </c>
      <c r="CP22" s="131" t="s">
        <v>236</v>
      </c>
      <c r="CQ22" s="131" t="s">
        <v>182</v>
      </c>
      <c r="CR22" s="131" t="s">
        <v>186</v>
      </c>
      <c r="CS22" s="132" t="s">
        <v>237</v>
      </c>
      <c r="CT22" s="132" t="s">
        <v>238</v>
      </c>
      <c r="CU22" s="134"/>
      <c r="CV22" s="129"/>
      <c r="CW22" s="130" t="s">
        <v>235</v>
      </c>
      <c r="CX22" s="131" t="s">
        <v>187</v>
      </c>
      <c r="CY22" s="131" t="s">
        <v>236</v>
      </c>
      <c r="CZ22" s="131" t="s">
        <v>182</v>
      </c>
      <c r="DA22" s="131" t="s">
        <v>186</v>
      </c>
      <c r="DB22" s="132" t="s">
        <v>237</v>
      </c>
      <c r="DC22" s="132" t="s">
        <v>238</v>
      </c>
      <c r="DD22" s="134"/>
      <c r="DE22" s="129"/>
      <c r="DF22" s="130" t="s">
        <v>235</v>
      </c>
      <c r="DG22" s="131" t="s">
        <v>187</v>
      </c>
      <c r="DH22" s="131" t="s">
        <v>236</v>
      </c>
      <c r="DI22" s="131" t="s">
        <v>182</v>
      </c>
      <c r="DJ22" s="131" t="s">
        <v>186</v>
      </c>
      <c r="DK22" s="132" t="s">
        <v>237</v>
      </c>
      <c r="DL22" s="132" t="s">
        <v>238</v>
      </c>
      <c r="DM22" s="134"/>
      <c r="DN22" s="129"/>
      <c r="DO22" s="130" t="s">
        <v>235</v>
      </c>
      <c r="DP22" s="131" t="s">
        <v>187</v>
      </c>
      <c r="DQ22" s="131" t="s">
        <v>236</v>
      </c>
      <c r="DR22" s="131" t="s">
        <v>182</v>
      </c>
      <c r="DS22" s="131" t="s">
        <v>186</v>
      </c>
      <c r="DT22" s="132" t="s">
        <v>237</v>
      </c>
      <c r="DU22" s="132" t="s">
        <v>238</v>
      </c>
      <c r="DV22" s="134"/>
      <c r="DW22" s="129"/>
      <c r="DX22" s="130" t="s">
        <v>235</v>
      </c>
      <c r="DY22" s="131" t="s">
        <v>187</v>
      </c>
      <c r="DZ22" s="131" t="s">
        <v>236</v>
      </c>
      <c r="EA22" s="131" t="s">
        <v>182</v>
      </c>
      <c r="EB22" s="131" t="s">
        <v>186</v>
      </c>
      <c r="EC22" s="132" t="s">
        <v>237</v>
      </c>
      <c r="ED22" s="132" t="s">
        <v>238</v>
      </c>
      <c r="EE22" s="134"/>
      <c r="EF22" s="129"/>
      <c r="EG22" s="130" t="s">
        <v>235</v>
      </c>
      <c r="EH22" s="131" t="s">
        <v>187</v>
      </c>
      <c r="EI22" s="131" t="s">
        <v>236</v>
      </c>
      <c r="EJ22" s="131" t="s">
        <v>182</v>
      </c>
      <c r="EK22" s="131" t="s">
        <v>186</v>
      </c>
      <c r="EL22" s="132" t="s">
        <v>237</v>
      </c>
      <c r="EM22" s="132" t="s">
        <v>238</v>
      </c>
      <c r="EN22" s="133"/>
    </row>
    <row r="23" spans="1:144" ht="15.75" thickBot="1">
      <c r="A23" s="319"/>
      <c r="B23" s="93"/>
      <c r="C23" s="55"/>
      <c r="D23" s="60">
        <v>0</v>
      </c>
      <c r="E23" s="139"/>
      <c r="F23" s="140">
        <v>1</v>
      </c>
      <c r="G23" s="141">
        <v>0</v>
      </c>
      <c r="H23" s="57" t="s">
        <v>239</v>
      </c>
      <c r="I23" s="14" t="str">
        <f>IF(G23=99,"", CONCATENATE("10.0.",TEXT(((BITWISE_AND('IP Address (no mod)'!$D$20,H$19)/4)+G23*8),"0"),".",TEXT((BITWISE_AND('IP Address (no mod)'!$D$21,H$19)*64)+D$23*10+F23,"0")))</f>
        <v>10.0.0.65</v>
      </c>
      <c r="J23" s="100">
        <f>COUNTIF($I$23:$I$111,I23)+COUNTIF($R$23:$R$111,I23)+COUNTIF($AA$23:$AA$111,I23)+COUNTIF($AJ$23:$AJ$111,I23)+COUNTIF($AQ$23:$AQ$111,I23)+COUNTIF($AZ$23:$AZ$111,I23)+COUNTIF($BI$23:$BI$111,I23)+COUNTIF($BR$23:$BR$111,I23)+COUNTIF($CA$23:$CA$111,I23)+COUNTIF($CJ$23:$CJ$111,I23)+COUNTIF($CS$23:$CS$111,I23)+COUNTIF($DB$23:$DB$111,I23)+COUNTIF($DK$23:$DK$111,I23)+COUNTIF($DT$23:$DT$111,I23)+COUNTIF($EC$23:$EC$111,I23)+COUNTIF($EL$23:$EL$111,I23)-1</f>
        <v>0</v>
      </c>
      <c r="K23" s="95"/>
      <c r="L23" s="55"/>
      <c r="M23" s="60">
        <v>0</v>
      </c>
      <c r="N23" s="139"/>
      <c r="O23" s="140">
        <v>1</v>
      </c>
      <c r="P23" s="141">
        <v>0</v>
      </c>
      <c r="Q23" s="57" t="s">
        <v>239</v>
      </c>
      <c r="R23" s="14" t="str">
        <f>IF(P23=99,"", CONCATENATE("10.0.",TEXT(((BITWISE_AND('IP Address (no mod)'!$D$20,Q$19)/4)+P23*8),"0"),".",TEXT((BITWISE_AND('IP Address (no mod)'!$D$21,Q$19)*64)+M$23*10+O23,"0")))</f>
        <v>10.0.0.129</v>
      </c>
      <c r="S23" s="100">
        <f>COUNTIF($I$23:$I$111,R23)+COUNTIF($R$23:$R$111,R23)+COUNTIF($AA$23:$AA$111,R23)+COUNTIF($AJ$23:$AJ$111,R23)+COUNTIF($AQ$23:$AQ$111,R23)+COUNTIF($AZ$23:$AZ$111,R23)+COUNTIF($BI$23:$BI$111,R23)+COUNTIF($BR$23:$BR$111,R23)+COUNTIF($CA$23:$CA$111,R23)+COUNTIF($CJ$23:$CJ$111,R23)+COUNTIF($CS$23:$CS$111,R23)+COUNTIF($DB$23:$DB$111,R23)+COUNTIF($DK$23:$DK$111,R23)+COUNTIF($DT$23:$DT$111,R23)+COUNTIF($EC$23:$EC$111,R23)+COUNTIF($EL$23:$EL$111,R23)-1</f>
        <v>0</v>
      </c>
      <c r="T23" s="98"/>
      <c r="U23" s="55"/>
      <c r="V23" s="60">
        <v>0</v>
      </c>
      <c r="W23" s="139"/>
      <c r="X23" s="140">
        <v>1</v>
      </c>
      <c r="Y23" s="141">
        <v>0</v>
      </c>
      <c r="Z23" s="57" t="s">
        <v>239</v>
      </c>
      <c r="AA23" s="14" t="str">
        <f>IF(Y23=99,"", CONCATENATE("10.0.",TEXT(((BITWISE_AND('IP Address (no mod)'!$D$20,Z$19)/4)+Y23*8),"0"),".",TEXT((BITWISE_AND('IP Address (no mod)'!$D$21,Z$19)*64)+V$23*10+X23,"0")))</f>
        <v>10.0.0.193</v>
      </c>
      <c r="AB23" s="100">
        <f>COUNTIF($I$23:$I$111,AA23)+COUNTIF($R$23:$R$111,AA23)+COUNTIF($AA$23:$AA$111,AA23)+COUNTIF($AJ$23:$AJ$111,AA23)+COUNTIF($AQ$23:$AQ$111,AA23)+COUNTIF($AZ$23:$AZ$111,AA23)+COUNTIF($BI$23:$BI$111,AA23)+COUNTIF($BR$23:$BR$111,AA23)+COUNTIF($CA$23:$CA$111,AA23)+COUNTIF($CJ$23:$CJ$111,AA23)+COUNTIF($CS$23:$CS$111,AA23)+COUNTIF($DB$23:$DB$111,AA23)+COUNTIF($DK$23:$DK$111,AA23)+COUNTIF($DT$23:$DT$111,AA23)+COUNTIF($EC$23:$EC$111,AA23)+COUNTIF($EL$23:$EL$111,AA23)-1</f>
        <v>0</v>
      </c>
      <c r="AC23" s="98"/>
      <c r="AD23" s="55"/>
      <c r="AE23" s="60">
        <v>0</v>
      </c>
      <c r="AF23" s="139"/>
      <c r="AG23" s="140">
        <v>1</v>
      </c>
      <c r="AH23" s="141">
        <v>0</v>
      </c>
      <c r="AI23" s="57" t="s">
        <v>239</v>
      </c>
      <c r="AJ23" s="14" t="str">
        <f>IF(AH23=99,"", CONCATENATE("10.0.",TEXT(((BITWISE_AND('IP Address (no mod)'!$D$20,AI$19)/4)+AH23*8),"0"),".",TEXT((BITWISE_AND('IP Address (no mod)'!$D$21,AI$19)*64)+AE$23*10+AG23,"0")))</f>
        <v>10.0.5.129</v>
      </c>
      <c r="AK23" s="100">
        <f>COUNTIF($I$23:$I$111,AJ23)+COUNTIF($R$23:$R$111,AJ23)+COUNTIF($AA$23:$AA$111,AJ23)+COUNTIF($AJ$23:$AJ$111,AJ23)+COUNTIF($AQ$23:$AQ$111,AJ23)+COUNTIF($AZ$23:$AZ$111,AJ23)+COUNTIF($BI$23:$BI$111,AJ23)+COUNTIF($BR$23:$BR$111,AJ23)+COUNTIF($CA$23:$CA$111,AJ23)+COUNTIF($CJ$23:$CJ$111,AJ23)+COUNTIF($CS$23:$CS$111,AJ23)+COUNTIF($DB$23:$DB$111,AJ23)+COUNTIF($DK$23:$DK$111,AJ23)+COUNTIF($DT$23:$DT$111,AJ23)+COUNTIF($EC$23:$EC$111,AJ23)+COUNTIF($EL$23:$EL$111,AJ23)-1</f>
        <v>0</v>
      </c>
      <c r="AL23" s="79">
        <v>4</v>
      </c>
      <c r="AM23" s="139"/>
      <c r="AN23" s="140">
        <v>1</v>
      </c>
      <c r="AO23" s="141">
        <v>0</v>
      </c>
      <c r="AP23" s="57" t="s">
        <v>240</v>
      </c>
      <c r="AQ23" s="14" t="str">
        <f>IF(AO23=99,"", CONCATENATE("10.0.",TEXT(((BITWISE_AND('IP Address (no mod)'!$D$20,AI$19)/4)+AO23*8),"0"),".",TEXT((BITWISE_AND('IP Address (no mod)'!$D$21,AI$19)*64)+AL$23*10+AN23,"0")))</f>
        <v>10.0.5.169</v>
      </c>
      <c r="AR23" s="100">
        <f>COUNTIF($I$23:$I$111,AQ23)+COUNTIF($R$23:$R$111,AQ23)+COUNTIF($AA$23:$AA$111,AQ23)+COUNTIF($AJ$23:$AJ$111,AQ23)+COUNTIF($AQ$23:$AQ$111,AQ23)+COUNTIF($AZ$23:$AZ$111,AQ23)+COUNTIF($BI$23:$BI$111,AQ23)+COUNTIF($BR$23:$BR$111,AQ23)+COUNTIF($CA$23:$CA$111,AQ23)+COUNTIF($CJ$23:$CJ$111,AQ23)+COUNTIF($CS$23:$CS$111,AQ23)+COUNTIF($DB$23:$DB$111,AQ23)+COUNTIF($DK$23:$DK$111,AQ23)+COUNTIF($DT$23:$DT$111,AQ23)+COUNTIF($EC$23:$EC$111,AQ23)+COUNTIF($EL$23:$EL$111,AQ23)-1</f>
        <v>0</v>
      </c>
      <c r="AS23" s="98"/>
      <c r="AT23" s="55"/>
      <c r="AU23" s="60">
        <v>0</v>
      </c>
      <c r="AV23" s="139"/>
      <c r="AW23" s="140">
        <v>1</v>
      </c>
      <c r="AX23" s="141">
        <v>0</v>
      </c>
      <c r="AY23" s="57" t="s">
        <v>239</v>
      </c>
      <c r="AZ23" s="14" t="str">
        <f>IF(AX23=99,"", CONCATENATE("10.0.",TEXT(((BITWISE_AND('IP Address (no mod)'!$D$20,AY$19)/4)+AX23*8),"0"),".",TEXT((BITWISE_AND('IP Address (no mod)'!$D$21,AY$19)*64)+AU$23*10+AW23,"0")))</f>
        <v>10.0.1.65</v>
      </c>
      <c r="BA23" s="100">
        <f>COUNTIF($I$23:$I$111,AZ23)+COUNTIF($R$23:$R$111,AZ23)+COUNTIF($AA$23:$AA$111,AZ23)+COUNTIF($AJ$23:$AJ$111,AZ23)+COUNTIF($AQ$23:$AQ$111,AZ23)+COUNTIF($AZ$23:$AZ$111,AZ23)+COUNTIF($BI$23:$BI$111,AZ23)+COUNTIF($BR$23:$BR$111,AZ23)+COUNTIF($CA$23:$CA$111,AZ23)+COUNTIF($CJ$23:$CJ$111,AZ23)+COUNTIF($CS$23:$CS$111,AZ23)+COUNTIF($DB$23:$DB$111,AZ23)+COUNTIF($DK$23:$DK$111,AZ23)+COUNTIF($DT$23:$DT$111,AZ23)+COUNTIF($EC$23:$EC$111,AZ23)+COUNTIF($EL$23:$EL$111,AZ23)-1</f>
        <v>0</v>
      </c>
      <c r="BB23" s="98"/>
      <c r="BC23" s="55"/>
      <c r="BD23" s="60">
        <v>0</v>
      </c>
      <c r="BE23" s="139"/>
      <c r="BF23" s="140">
        <v>1</v>
      </c>
      <c r="BG23" s="141">
        <v>0</v>
      </c>
      <c r="BH23" s="57" t="s">
        <v>239</v>
      </c>
      <c r="BI23" s="14" t="str">
        <f>IF(BG23=99,"", CONCATENATE("10.0.",TEXT(((BITWISE_AND('IP Address (no mod)'!$D$20,BH$19)/4)+BG23*8),"0"),".",TEXT((BITWISE_AND('IP Address (no mod)'!$D$21,BH$19)*64)+BD$23*10+BF23,"0")))</f>
        <v>10.0.1.129</v>
      </c>
      <c r="BJ23" s="100">
        <f>COUNTIF($I$23:$I$111,BI23)+COUNTIF($R$23:$R$111,BI23)+COUNTIF($AA$23:$AA$111,BI23)+COUNTIF($AJ$23:$AJ$111,BI23)+COUNTIF($AQ$23:$AQ$111,BI23)+COUNTIF($AZ$23:$AZ$111,BI23)+COUNTIF($BI$23:$BI$111,BI23)+COUNTIF($BR$23:$BR$111,BI23)+COUNTIF($CA$23:$CA$111,BI23)+COUNTIF($CJ$23:$CJ$111,BI23)+COUNTIF($CS$23:$CS$111,BI23)+COUNTIF($DB$23:$DB$111,BI23)+COUNTIF($DK$23:$DK$111,BI23)+COUNTIF($DT$23:$DT$111,BI23)+COUNTIF($EC$23:$EC$111,BI23)+COUNTIF($EL$23:$EL$111,BI23)-1</f>
        <v>0</v>
      </c>
      <c r="BK23" s="98"/>
      <c r="BL23" s="55"/>
      <c r="BM23" s="60">
        <v>0</v>
      </c>
      <c r="BN23" s="139"/>
      <c r="BO23" s="140">
        <v>1</v>
      </c>
      <c r="BP23" s="141">
        <v>0</v>
      </c>
      <c r="BQ23" s="57" t="s">
        <v>239</v>
      </c>
      <c r="BR23" s="14" t="str">
        <f>IF(BP23=99,"", CONCATENATE("10.0.",TEXT(((BITWISE_AND('IP Address (no mod)'!$D$20,BQ$19)/4)+BP23*8),"0"),".",TEXT((BITWISE_AND('IP Address (no mod)'!$D$21,BQ$19)*64)+BM$23*10+BO23,"0")))</f>
        <v>10.0.1.193</v>
      </c>
      <c r="BS23" s="100">
        <f>COUNTIF($I$23:$I$111,BR23)+COUNTIF($R$23:$R$111,BR23)+COUNTIF($AA$23:$AA$111,BR23)+COUNTIF($AJ$23:$AJ$111,BR23)+COUNTIF($AQ$23:$AQ$111,BR23)+COUNTIF($AZ$23:$AZ$111,BR23)+COUNTIF($BI$23:$BI$111,BR23)+COUNTIF($BR$23:$BR$111,BR23)+COUNTIF($CA$23:$CA$111,BR23)+COUNTIF($CJ$23:$CJ$111,BR23)+COUNTIF($CS$23:$CS$111,BR23)+COUNTIF($DB$23:$DB$111,BR23)+COUNTIF($DK$23:$DK$111,BR23)+COUNTIF($DT$23:$DT$111,BR23)+COUNTIF($EC$23:$EC$111,BR23)+COUNTIF($EL$23:$EL$111,BR23)-1</f>
        <v>0</v>
      </c>
      <c r="BT23" s="98"/>
      <c r="BU23" s="55"/>
      <c r="BV23" s="60">
        <v>0</v>
      </c>
      <c r="BW23" s="139"/>
      <c r="BX23" s="140">
        <v>1</v>
      </c>
      <c r="BY23" s="141">
        <v>0</v>
      </c>
      <c r="BZ23" s="57" t="s">
        <v>239</v>
      </c>
      <c r="CA23" s="14" t="str">
        <f>IF(BY23=99,"", CONCATENATE("10.0.",TEXT(((BITWISE_AND('IP Address (no mod)'!$D$20,BZ$19)/4)+BY23*8),"0"),".",TEXT((BITWISE_AND('IP Address (no mod)'!$D$21,BZ$19)*64)+BV$23*10+BX23,"0")))</f>
        <v>10.0.2.1</v>
      </c>
      <c r="CB23" s="100">
        <f>COUNTIF($I$23:$I$111,CA23)+COUNTIF($R$23:$R$111,CA23)+COUNTIF($AA$23:$AA$111,CA23)+COUNTIF($AJ$23:$AJ$111,CA23)+COUNTIF($AQ$23:$AQ$111,CA23)+COUNTIF($AZ$23:$AZ$111,CA23)+COUNTIF($BI$23:$BI$111,CA23)+COUNTIF($BR$23:$BR$111,CA23)+COUNTIF($CA$23:$CA$111,CA23)+COUNTIF($CJ$23:$CJ$111,CA23)+COUNTIF($CS$23:$CS$111,CA23)+COUNTIF($DB$23:$DB$111,CA23)+COUNTIF($DK$23:$DK$111,CA23)+COUNTIF($DT$23:$DT$111,CA23)+COUNTIF($EC$23:$EC$111,CA23)+COUNTIF($EL$23:$EL$111,CA23)-1</f>
        <v>0</v>
      </c>
      <c r="CC23" s="98"/>
      <c r="CD23" s="55"/>
      <c r="CE23" s="60">
        <v>0</v>
      </c>
      <c r="CF23" s="139"/>
      <c r="CG23" s="140">
        <v>1</v>
      </c>
      <c r="CH23" s="141">
        <v>0</v>
      </c>
      <c r="CI23" s="57" t="s">
        <v>239</v>
      </c>
      <c r="CJ23" s="14" t="str">
        <f>IF(CH23=99,"", CONCATENATE("10.0.",TEXT(((BITWISE_AND('IP Address (no mod)'!$D$20,CI$19)/4)+CH23*8),"0"),".",TEXT((BITWISE_AND('IP Address (no mod)'!$D$21,CI$19)*64)+CE$23*10+CG23,"0")))</f>
        <v>10.0.2.65</v>
      </c>
      <c r="CK23" s="100">
        <f>COUNTIF($I$23:$I$111,CJ23)+COUNTIF($R$23:$R$111,CJ23)+COUNTIF($AA$23:$AA$111,CJ23)+COUNTIF($AJ$23:$AJ$111,CJ23)+COUNTIF($AQ$23:$AQ$111,CJ23)+COUNTIF($AZ$23:$AZ$111,CJ23)+COUNTIF($BI$23:$BI$111,CJ23)+COUNTIF($BR$23:$BR$111,CJ23)+COUNTIF($CA$23:$CA$111,CJ23)+COUNTIF($CJ$23:$CJ$111,CJ23)+COUNTIF($CS$23:$CS$111,CJ23)+COUNTIF($DB$23:$DB$111,CJ23)+COUNTIF($DK$23:$DK$111,CJ23)+COUNTIF($DT$23:$DT$111,CJ23)+COUNTIF($EC$23:$EC$111,CJ23)+COUNTIF($EL$23:$EL$111,CJ23)-1</f>
        <v>0</v>
      </c>
      <c r="CL23" s="98"/>
      <c r="CM23" s="55"/>
      <c r="CN23" s="60">
        <v>0</v>
      </c>
      <c r="CO23" s="139"/>
      <c r="CP23" s="140">
        <v>1</v>
      </c>
      <c r="CQ23" s="141">
        <v>0</v>
      </c>
      <c r="CR23" s="57" t="s">
        <v>239</v>
      </c>
      <c r="CS23" s="14" t="str">
        <f>IF(CQ23=99,"", CONCATENATE("10.0.",TEXT(((BITWISE_AND('IP Address (no mod)'!$D$20,CR$19)/4)+CQ23*8),"0"),".",TEXT((BITWISE_AND('IP Address (no mod)'!$D$21,CR$19)*64)+CN$23*10+CP23,"0")))</f>
        <v>10.0.2.129</v>
      </c>
      <c r="CT23" s="100">
        <f>COUNTIF($I$23:$I$111,CS23)+COUNTIF($R$23:$R$111,CS23)+COUNTIF($AA$23:$AA$111,CS23)+COUNTIF($AJ$23:$AJ$111,CS23)+COUNTIF($AQ$23:$AQ$111,CS23)+COUNTIF($AZ$23:$AZ$111,CS23)+COUNTIF($BI$23:$BI$111,CS23)+COUNTIF($BR$23:$BR$111,CS23)+COUNTIF($CA$23:$CA$111,CS23)+COUNTIF($CJ$23:$CJ$111,CS23)+COUNTIF($CS$23:$CS$111,CS23)+COUNTIF($DB$23:$DB$111,CS23)+COUNTIF($DK$23:$DK$111,CS23)+COUNTIF($DT$23:$DT$111,CS23)+COUNTIF($EC$23:$EC$111,CS23)+COUNTIF($EL$23:$EL$111,CS23)-1</f>
        <v>0</v>
      </c>
      <c r="CU23" s="98"/>
      <c r="CV23" s="55"/>
      <c r="CW23" s="60">
        <v>0</v>
      </c>
      <c r="CX23" s="139"/>
      <c r="CY23" s="140">
        <v>1</v>
      </c>
      <c r="CZ23" s="141">
        <v>0</v>
      </c>
      <c r="DA23" s="57" t="s">
        <v>239</v>
      </c>
      <c r="DB23" s="14" t="str">
        <f>IF(CZ23=99,"", CONCATENATE("10.0.",TEXT(((BITWISE_AND('IP Address (no mod)'!$D$20,DA$19)/4)+CZ23*8),"0"),".",TEXT((BITWISE_AND('IP Address (no mod)'!$D$21,DA$19)*64)+CW$23*10+CY23,"0")))</f>
        <v>10.0.2.193</v>
      </c>
      <c r="DC23" s="100">
        <f>COUNTIF($I$23:$I$111,DB23)+COUNTIF($R$23:$R$111,DB23)+COUNTIF($AA$23:$AA$111,DB23)+COUNTIF($AJ$23:$AJ$111,DB23)+COUNTIF($AQ$23:$AQ$111,DB23)+COUNTIF($AZ$23:$AZ$111,DB23)+COUNTIF($BI$23:$BI$111,DB23)+COUNTIF($BR$23:$BR$111,DB23)+COUNTIF($CA$23:$CA$111,DB23)+COUNTIF($CJ$23:$CJ$111,DB23)+COUNTIF($CS$23:$CS$111,DB23)+COUNTIF($DB$23:$DB$111,DB23)+COUNTIF($DK$23:$DK$111,DB23)+COUNTIF($DT$23:$DT$111,DB23)+COUNTIF($EC$23:$EC$111,DB23)+COUNTIF($EL$23:$EL$111,DB23)-1</f>
        <v>0</v>
      </c>
      <c r="DD23" s="98"/>
      <c r="DE23" s="55"/>
      <c r="DF23" s="60">
        <v>0</v>
      </c>
      <c r="DG23" s="139"/>
      <c r="DH23" s="140">
        <v>1</v>
      </c>
      <c r="DI23" s="141">
        <v>0</v>
      </c>
      <c r="DJ23" s="57" t="s">
        <v>239</v>
      </c>
      <c r="DK23" s="14" t="str">
        <f>IF(DI23=99,"", CONCATENATE("10.0.",TEXT(((BITWISE_AND('IP Address (no mod)'!$D$20,DJ$19)/4)+DI23*8),"0"),".",TEXT((BITWISE_AND('IP Address (no mod)'!$D$21,DJ$19)*64)+DF$23*10+DH23,"0")))</f>
        <v>10.0.3.1</v>
      </c>
      <c r="DL23" s="100">
        <f>COUNTIF($I$23:$I$111,DK23)+COUNTIF($R$23:$R$111,DK23)+COUNTIF($AA$23:$AA$111,DK23)+COUNTIF($AJ$23:$AJ$111,DK23)+COUNTIF($AQ$23:$AQ$111,DK23)+COUNTIF($AZ$23:$AZ$111,DK23)+COUNTIF($BI$23:$BI$111,DK23)+COUNTIF($BR$23:$BR$111,DK23)+COUNTIF($CA$23:$CA$111,DK23)+COUNTIF($CJ$23:$CJ$111,DK23)+COUNTIF($CS$23:$CS$111,DK23)+COUNTIF($DB$23:$DB$111,DK23)+COUNTIF($DK$23:$DK$111,DK23)+COUNTIF($DT$23:$DT$111,DK23)+COUNTIF($EC$23:$EC$111,DK23)+COUNTIF($EL$23:$EL$111,DK23)-1</f>
        <v>0</v>
      </c>
      <c r="DM23" s="98"/>
      <c r="DN23" s="55"/>
      <c r="DO23" s="60">
        <v>0</v>
      </c>
      <c r="DP23" s="139"/>
      <c r="DQ23" s="140">
        <v>1</v>
      </c>
      <c r="DR23" s="141">
        <v>0</v>
      </c>
      <c r="DS23" s="57" t="s">
        <v>239</v>
      </c>
      <c r="DT23" s="14" t="str">
        <f>IF(DR23=99,"", CONCATENATE("10.0.",TEXT(((BITWISE_AND('IP Address (no mod)'!$D$20,DS$19)/4)+DR23*8),"0"),".",TEXT((BITWISE_AND('IP Address (no mod)'!$D$21,DS$19)*64)+DO$23*10+DQ23,"0")))</f>
        <v>10.0.3.65</v>
      </c>
      <c r="DU23" s="100">
        <f>COUNTIF($I$23:$I$111,DT23)+COUNTIF($R$23:$R$111,DT23)+COUNTIF($AA$23:$AA$111,DT23)+COUNTIF($AJ$23:$AJ$111,DT23)+COUNTIF($AQ$23:$AQ$111,DT23)+COUNTIF($AZ$23:$AZ$111,DT23)+COUNTIF($BI$23:$BI$111,DT23)+COUNTIF($BR$23:$BR$111,DT23)+COUNTIF($CA$23:$CA$111,DT23)+COUNTIF($CJ$23:$CJ$111,DT23)+COUNTIF($CS$23:$CS$111,DT23)+COUNTIF($DB$23:$DB$111,DT23)+COUNTIF($DK$23:$DK$111,DT23)+COUNTIF($DT$23:$DT$111,DT23)+COUNTIF($EC$23:$EC$111,DT23)+COUNTIF($EL$23:$EL$111,DT23)-1</f>
        <v>0</v>
      </c>
      <c r="DV23" s="98"/>
      <c r="DW23" s="55"/>
      <c r="DX23" s="60">
        <v>0</v>
      </c>
      <c r="DY23" s="139"/>
      <c r="DZ23" s="140">
        <v>1</v>
      </c>
      <c r="EA23" s="141">
        <v>0</v>
      </c>
      <c r="EB23" s="57" t="s">
        <v>239</v>
      </c>
      <c r="EC23" s="14" t="str">
        <f>IF(EA23=99,"", CONCATENATE("10.0.",TEXT(((BITWISE_AND('IP Address (no mod)'!$D$20,EB$19)/4)+EA23*8),"0"),".",TEXT((BITWISE_AND('IP Address (no mod)'!$D$21,EB$19)*64)+DX$23*10+DZ23,"0")))</f>
        <v>10.0.3.129</v>
      </c>
      <c r="ED23" s="100">
        <f>COUNTIF($I$23:$I$111,EC23)+COUNTIF($R$23:$R$111,EC23)+COUNTIF($AA$23:$AA$111,EC23)+COUNTIF($AJ$23:$AJ$111,EC23)+COUNTIF($AQ$23:$AQ$111,EC23)+COUNTIF($AZ$23:$AZ$111,EC23)+COUNTIF($BI$23:$BI$111,EC23)+COUNTIF($BR$23:$BR$111,EC23)+COUNTIF($CA$23:$CA$111,EC23)+COUNTIF($CJ$23:$CJ$111,EC23)+COUNTIF($CS$23:$CS$111,EC23)+COUNTIF($DB$23:$DB$111,EC23)+COUNTIF($DK$23:$DK$111,EC23)+COUNTIF($DT$23:$DT$111,EC23)+COUNTIF($EC$23:$EC$111,EC23)+COUNTIF($EL$23:$EL$111,EC23)-1</f>
        <v>0</v>
      </c>
      <c r="EE23" s="98"/>
      <c r="EF23" s="55"/>
      <c r="EG23" s="60">
        <v>0</v>
      </c>
      <c r="EH23" s="139"/>
      <c r="EI23" s="140">
        <v>1</v>
      </c>
      <c r="EJ23" s="141">
        <v>0</v>
      </c>
      <c r="EK23" s="57" t="s">
        <v>239</v>
      </c>
      <c r="EL23" s="14" t="str">
        <f>IF(EJ23=99,"", CONCATENATE("10.0.",TEXT(((BITWISE_AND('IP Address (no mod)'!$D$20,EK$19)/4)+EJ23*8),"0"),".",TEXT((BITWISE_AND('IP Address (no mod)'!$D$21,EK$19)*64)+EG$23*10+EI23,"0")))</f>
        <v>10.0.3.193</v>
      </c>
      <c r="EM23" s="100">
        <f t="shared" ref="EM23:EM33" si="0">COUNTIF($I$23:$I$111,EL23)+COUNTIF($R$23:$R$111,EL23)+COUNTIF($AA$23:$AA$111,EL23)+COUNTIF($AJ$23:$AJ$111,EL23)+COUNTIF($AQ$23:$AQ$111,EL23)+COUNTIF($AZ$23:$AZ$111,EL23)+COUNTIF($BI$23:$BI$111,EL23)+COUNTIF($BR$23:$BR$111,EL23)+COUNTIF($CA$23:$CA$111,EL23)+COUNTIF($CJ$23:$CJ$111,EL23)+COUNTIF($CS$23:$CS$111,EL23)+COUNTIF($DB$23:$DB$111,EL23)+COUNTIF($DK$23:$DK$111,EL23)+COUNTIF($DT$23:$DT$111,EL23)+COUNTIF($EC$23:$EC$111,EL23)+COUNTIF($EL$23:$EL$111,EL23)-1</f>
        <v>0</v>
      </c>
      <c r="EN23" s="95"/>
    </row>
    <row r="24" spans="1:144" ht="14.45" customHeight="1">
      <c r="A24" s="319"/>
      <c r="B24" s="93"/>
      <c r="C24" s="55"/>
      <c r="D24" s="329" t="s">
        <v>239</v>
      </c>
      <c r="E24" s="12" t="s">
        <v>241</v>
      </c>
      <c r="F24" s="125">
        <v>0</v>
      </c>
      <c r="G24" s="125">
        <v>1</v>
      </c>
      <c r="H24" s="126" t="s">
        <v>72</v>
      </c>
      <c r="I24" s="14" t="str">
        <f>IF(G24=99,"", CONCATENATE("10.0.",TEXT(((BITWISE_AND('IP Address (no mod)'!$D$20,H$19)/4)+G24*8),"0"),".",TEXT((BITWISE_AND('IP Address (no mod)'!$D$21,H$19)*64)+D$23*10+F24,"0")))</f>
        <v>10.0.8.64</v>
      </c>
      <c r="J24" s="100">
        <f t="shared" ref="J24:J33" si="1">IF(I24="",0,COUNTIF($I$23:$I$111,I24)+COUNTIF($R$23:$R$111,I24)+COUNTIF($AA$23:$AA$111,I24)+COUNTIF($AJ$23:$AJ$111,I24)+COUNTIF($AQ$23:$AQ$111,I24)+COUNTIF($AZ$23:$AZ$111,I24)+COUNTIF($BI$23:$BI$111,I24)+COUNTIF($BR$23:$BR$111,I24)+COUNTIF($CA$23:$CA$111,I24)+COUNTIF($CJ$23:$CJ$111,I24)+COUNTIF($CS$23:$CS$111,I24)+COUNTIF($DB$23:$DB$111,I24)+COUNTIF($DK$23:$DK$111,I24)+COUNTIF($DT$23:$DT$111,I24)+COUNTIF($EC$23:$EC$111,I24)+COUNTIF($EL$23:$EL$111,I24)-1)</f>
        <v>1</v>
      </c>
      <c r="K24" s="95"/>
      <c r="L24" s="55"/>
      <c r="M24" s="329" t="s">
        <v>239</v>
      </c>
      <c r="N24" s="61" t="s">
        <v>241</v>
      </c>
      <c r="O24" s="61">
        <v>0</v>
      </c>
      <c r="P24" s="61">
        <v>1</v>
      </c>
      <c r="Q24" s="62" t="s">
        <v>72</v>
      </c>
      <c r="R24" s="14" t="str">
        <f>IF(P24=99,"", CONCATENATE("10.0.",TEXT(((BITWISE_AND('IP Address (no mod)'!$D$20,Q$19)/4)+P24*8),"0"),".",TEXT((BITWISE_AND('IP Address (no mod)'!$D$21,Q$19)*64)+M$23*10+O24,"0")))</f>
        <v>10.0.8.128</v>
      </c>
      <c r="S24" s="100">
        <f t="shared" ref="S24:S33" si="2">IF(R24="",0,COUNTIF($I$23:$I$111,R24)+COUNTIF($R$23:$R$111,R24)+COUNTIF($AA$23:$AA$111,R24)+COUNTIF($AJ$23:$AJ$111,R24)+COUNTIF($AQ$23:$AQ$111,R24)+COUNTIF($AZ$23:$AZ$111,R24)+COUNTIF($BI$23:$BI$111,R24)+COUNTIF($BR$23:$BR$111,R24)+COUNTIF($CA$23:$CA$111,R24)+COUNTIF($CJ$23:$CJ$111,R24)+COUNTIF($CS$23:$CS$111,R24)+COUNTIF($DB$23:$DB$111,R24)+COUNTIF($DK$23:$DK$111,R24)+COUNTIF($DT$23:$DT$111,R24)+COUNTIF($EC$23:$EC$111,R24)+COUNTIF($EL$23:$EL$111,R24)-1)</f>
        <v>1</v>
      </c>
      <c r="T24" s="98"/>
      <c r="U24" s="55"/>
      <c r="V24" s="329" t="s">
        <v>239</v>
      </c>
      <c r="W24" s="61" t="s">
        <v>241</v>
      </c>
      <c r="X24" s="61">
        <v>0</v>
      </c>
      <c r="Y24" s="61">
        <v>1</v>
      </c>
      <c r="Z24" s="62" t="s">
        <v>72</v>
      </c>
      <c r="AA24" s="14" t="str">
        <f>IF(Y24=99,"", CONCATENATE("10.0.",TEXT(((BITWISE_AND('IP Address (no mod)'!$D$20,Z$19)/4)+Y24*8),"0"),".",TEXT((BITWISE_AND('IP Address (no mod)'!$D$21,Z$19)*64)+V$23*10+X24,"0")))</f>
        <v>10.0.8.192</v>
      </c>
      <c r="AB24" s="100">
        <f t="shared" ref="AB24:AB33" si="3">IF(AA24="",0,COUNTIF($I$23:$I$111,AA24)+COUNTIF($R$23:$R$111,AA24)+COUNTIF($AA$23:$AA$111,AA24)+COUNTIF($AJ$23:$AJ$111,AA24)+COUNTIF($AQ$23:$AQ$111,AA24)+COUNTIF($AZ$23:$AZ$111,AA24)+COUNTIF($BI$23:$BI$111,AA24)+COUNTIF($BR$23:$BR$111,AA24)+COUNTIF($CA$23:$CA$111,AA24)+COUNTIF($CJ$23:$CJ$111,AA24)+COUNTIF($CS$23:$CS$111,AA24)+COUNTIF($DB$23:$DB$111,AA24)+COUNTIF($DK$23:$DK$111,AA24)+COUNTIF($DT$23:$DT$111,AA24)+COUNTIF($EC$23:$EC$111,AA24)+COUNTIF($EL$23:$EL$111,AA24)-1)</f>
        <v>1</v>
      </c>
      <c r="AC24" s="98"/>
      <c r="AD24" s="55"/>
      <c r="AE24" s="329" t="s">
        <v>239</v>
      </c>
      <c r="AF24" s="61" t="s">
        <v>241</v>
      </c>
      <c r="AG24" s="61">
        <v>0</v>
      </c>
      <c r="AH24" s="61">
        <v>1</v>
      </c>
      <c r="AI24" s="62" t="s">
        <v>72</v>
      </c>
      <c r="AJ24" s="14" t="str">
        <f>IF(AH24=99,"", CONCATENATE("10.0.",TEXT(((BITWISE_AND('IP Address (no mod)'!$D$20,AI$19)/4)+AH24*8),"0"),".",TEXT((BITWISE_AND('IP Address (no mod)'!$D$21,AI$19)*64)+AE$23*10+AG24,"0")))</f>
        <v>10.0.13.128</v>
      </c>
      <c r="AK24" s="100">
        <f t="shared" ref="AK24:AK33" si="4">IF(AJ24="",0,COUNTIF($I$23:$I$111,AJ24)+COUNTIF($R$23:$R$111,AJ24)+COUNTIF($AA$23:$AA$111,AJ24)+COUNTIF($AJ$23:$AJ$111,AJ24)+COUNTIF($AQ$23:$AQ$111,AJ24)+COUNTIF($AZ$23:$AZ$111,AJ24)+COUNTIF($BI$23:$BI$111,AJ24)+COUNTIF($BR$23:$BR$111,AJ24)+COUNTIF($CA$23:$CA$111,AJ24)+COUNTIF($CJ$23:$CJ$111,AJ24)+COUNTIF($CS$23:$CS$111,AJ24)+COUNTIF($DB$23:$DB$111,AJ24)+COUNTIF($DK$23:$DK$111,AJ24)+COUNTIF($DT$23:$DT$111,AJ24)+COUNTIF($EC$23:$EC$111,AJ24)+COUNTIF($EL$23:$EL$111,AJ24)-1)</f>
        <v>1</v>
      </c>
      <c r="AL24" s="329" t="s">
        <v>240</v>
      </c>
      <c r="AM24" s="80" t="s">
        <v>241</v>
      </c>
      <c r="AN24" s="80">
        <v>0</v>
      </c>
      <c r="AO24" s="61">
        <v>3</v>
      </c>
      <c r="AP24" s="62" t="s">
        <v>242</v>
      </c>
      <c r="AQ24" s="14" t="str">
        <f>IF(AO24=99,"", CONCATENATE("10.0.",TEXT(((BITWISE_AND('IP Address (no mod)'!$D$20,AI$19)/4)+AO24*8),"0"),".",TEXT((BITWISE_AND('IP Address (no mod)'!$D$21,AI$19)*64)+AL$23*10+AN24,"0")))</f>
        <v>10.0.29.168</v>
      </c>
      <c r="AR24" s="100">
        <f t="shared" ref="AR24:AR33" si="5">IF(AQ24="",0,COUNTIF($I$23:$I$111,AQ24)+COUNTIF($R$23:$R$111,AQ24)+COUNTIF($AA$23:$AA$111,AQ24)+COUNTIF($AJ$23:$AJ$111,AQ24)+COUNTIF($AQ$23:$AQ$111,AQ24)+COUNTIF($AZ$23:$AZ$111,AQ24)+COUNTIF($BI$23:$BI$111,AQ24)+COUNTIF($BR$23:$BR$111,AQ24)+COUNTIF($CA$23:$CA$111,AQ24)+COUNTIF($CJ$23:$CJ$111,AQ24)+COUNTIF($CS$23:$CS$111,AQ24)+COUNTIF($DB$23:$DB$111,AQ24)+COUNTIF($DK$23:$DK$111,AQ24)+COUNTIF($DT$23:$DT$111,AQ24)+COUNTIF($EC$23:$EC$111,AQ24)+COUNTIF($EL$23:$EL$111,AQ24)-1)</f>
        <v>0</v>
      </c>
      <c r="AS24" s="98"/>
      <c r="AT24" s="55"/>
      <c r="AU24" s="329" t="s">
        <v>239</v>
      </c>
      <c r="AV24" s="61" t="s">
        <v>241</v>
      </c>
      <c r="AW24" s="61">
        <v>0</v>
      </c>
      <c r="AX24" s="61">
        <v>1</v>
      </c>
      <c r="AY24" s="62" t="s">
        <v>72</v>
      </c>
      <c r="AZ24" s="14" t="str">
        <f>IF(AX24=99,"", CONCATENATE("10.0.",TEXT(((BITWISE_AND('IP Address (no mod)'!$D$20,AY$19)/4)+AX24*8),"0"),".",TEXT((BITWISE_AND('IP Address (no mod)'!$D$21,AY$19)*64)+AU$23*10+AW24,"0")))</f>
        <v>10.0.9.64</v>
      </c>
      <c r="BA24" s="100">
        <f t="shared" ref="BA24:BA33" si="6">IF(AZ24="",0,COUNTIF($I$23:$I$111,AZ24)+COUNTIF($R$23:$R$111,AZ24)+COUNTIF($AA$23:$AA$111,AZ24)+COUNTIF($AJ$23:$AJ$111,AZ24)+COUNTIF($AQ$23:$AQ$111,AZ24)+COUNTIF($AZ$23:$AZ$111,AZ24)+COUNTIF($BI$23:$BI$111,AZ24)+COUNTIF($BR$23:$BR$111,AZ24)+COUNTIF($CA$23:$CA$111,AZ24)+COUNTIF($CJ$23:$CJ$111,AZ24)+COUNTIF($CS$23:$CS$111,AZ24)+COUNTIF($DB$23:$DB$111,AZ24)+COUNTIF($DK$23:$DK$111,AZ24)+COUNTIF($DT$23:$DT$111,AZ24)+COUNTIF($EC$23:$EC$111,AZ24)+COUNTIF($EL$23:$EL$111,AZ24)-1)</f>
        <v>1</v>
      </c>
      <c r="BB24" s="98"/>
      <c r="BC24" s="55"/>
      <c r="BD24" s="329" t="s">
        <v>239</v>
      </c>
      <c r="BE24" s="61" t="s">
        <v>241</v>
      </c>
      <c r="BF24" s="61">
        <v>0</v>
      </c>
      <c r="BG24" s="61">
        <v>1</v>
      </c>
      <c r="BH24" s="62" t="s">
        <v>72</v>
      </c>
      <c r="BI24" s="14" t="str">
        <f>IF(BG24=99,"", CONCATENATE("10.0.",TEXT(((BITWISE_AND('IP Address (no mod)'!$D$20,BH$19)/4)+BG24*8),"0"),".",TEXT((BITWISE_AND('IP Address (no mod)'!$D$21,BH$19)*64)+BD$23*10+BF24,"0")))</f>
        <v>10.0.9.128</v>
      </c>
      <c r="BJ24" s="100">
        <f t="shared" ref="BJ24:BJ33" si="7">IF(BI24="",0,COUNTIF($I$23:$I$111,BI24)+COUNTIF($R$23:$R$111,BI24)+COUNTIF($AA$23:$AA$111,BI24)+COUNTIF($AJ$23:$AJ$111,BI24)+COUNTIF($AQ$23:$AQ$111,BI24)+COUNTIF($AZ$23:$AZ$111,BI24)+COUNTIF($BI$23:$BI$111,BI24)+COUNTIF($BR$23:$BR$111,BI24)+COUNTIF($CA$23:$CA$111,BI24)+COUNTIF($CJ$23:$CJ$111,BI24)+COUNTIF($CS$23:$CS$111,BI24)+COUNTIF($DB$23:$DB$111,BI24)+COUNTIF($DK$23:$DK$111,BI24)+COUNTIF($DT$23:$DT$111,BI24)+COUNTIF($EC$23:$EC$111,BI24)+COUNTIF($EL$23:$EL$111,BI24)-1)</f>
        <v>1</v>
      </c>
      <c r="BK24" s="98"/>
      <c r="BL24" s="55"/>
      <c r="BM24" s="329" t="s">
        <v>239</v>
      </c>
      <c r="BN24" s="61" t="s">
        <v>241</v>
      </c>
      <c r="BO24" s="61">
        <v>0</v>
      </c>
      <c r="BP24" s="61">
        <v>1</v>
      </c>
      <c r="BQ24" s="62" t="s">
        <v>72</v>
      </c>
      <c r="BR24" s="14" t="str">
        <f>IF(BP24=99,"", CONCATENATE("10.0.",TEXT(((BITWISE_AND('IP Address (no mod)'!$D$20,BQ$19)/4)+BP24*8),"0"),".",TEXT((BITWISE_AND('IP Address (no mod)'!$D$21,BQ$19)*64)+BM$23*10+BO24,"0")))</f>
        <v>10.0.9.192</v>
      </c>
      <c r="BS24" s="100">
        <f t="shared" ref="BS24:BS33" si="8">IF(BR24="",0,COUNTIF($I$23:$I$111,BR24)+COUNTIF($R$23:$R$111,BR24)+COUNTIF($AA$23:$AA$111,BR24)+COUNTIF($AJ$23:$AJ$111,BR24)+COUNTIF($AQ$23:$AQ$111,BR24)+COUNTIF($AZ$23:$AZ$111,BR24)+COUNTIF($BI$23:$BI$111,BR24)+COUNTIF($BR$23:$BR$111,BR24)+COUNTIF($CA$23:$CA$111,BR24)+COUNTIF($CJ$23:$CJ$111,BR24)+COUNTIF($CS$23:$CS$111,BR24)+COUNTIF($DB$23:$DB$111,BR24)+COUNTIF($DK$23:$DK$111,BR24)+COUNTIF($DT$23:$DT$111,BR24)+COUNTIF($EC$23:$EC$111,BR24)+COUNTIF($EL$23:$EL$111,BR24)-1)</f>
        <v>1</v>
      </c>
      <c r="BT24" s="98"/>
      <c r="BU24" s="55"/>
      <c r="BV24" s="329" t="s">
        <v>239</v>
      </c>
      <c r="BW24" s="61" t="s">
        <v>241</v>
      </c>
      <c r="BX24" s="61">
        <v>0</v>
      </c>
      <c r="BY24" s="61">
        <v>1</v>
      </c>
      <c r="BZ24" s="62" t="s">
        <v>72</v>
      </c>
      <c r="CA24" s="14" t="str">
        <f>IF(BY24=99,"", CONCATENATE("10.0.",TEXT(((BITWISE_AND('IP Address (no mod)'!$D$20,BZ$19)/4)+BY24*8),"0"),".",TEXT((BITWISE_AND('IP Address (no mod)'!$D$21,BZ$19)*64)+BV$23*10+BX24,"0")))</f>
        <v>10.0.10.0</v>
      </c>
      <c r="CB24" s="100">
        <f t="shared" ref="CB24:CB33" si="9">IF(CA24="",0,COUNTIF($I$23:$I$111,CA24)+COUNTIF($R$23:$R$111,CA24)+COUNTIF($AA$23:$AA$111,CA24)+COUNTIF($AJ$23:$AJ$111,CA24)+COUNTIF($AQ$23:$AQ$111,CA24)+COUNTIF($AZ$23:$AZ$111,CA24)+COUNTIF($BI$23:$BI$111,CA24)+COUNTIF($BR$23:$BR$111,CA24)+COUNTIF($CA$23:$CA$111,CA24)+COUNTIF($CJ$23:$CJ$111,CA24)+COUNTIF($CS$23:$CS$111,CA24)+COUNTIF($DB$23:$DB$111,CA24)+COUNTIF($DK$23:$DK$111,CA24)+COUNTIF($DT$23:$DT$111,CA24)+COUNTIF($EC$23:$EC$111,CA24)+COUNTIF($EL$23:$EL$111,CA24)-1)</f>
        <v>1</v>
      </c>
      <c r="CC24" s="98"/>
      <c r="CD24" s="55"/>
      <c r="CE24" s="329" t="s">
        <v>239</v>
      </c>
      <c r="CF24" s="61" t="s">
        <v>241</v>
      </c>
      <c r="CG24" s="61">
        <v>0</v>
      </c>
      <c r="CH24" s="61">
        <v>1</v>
      </c>
      <c r="CI24" s="62" t="s">
        <v>72</v>
      </c>
      <c r="CJ24" s="14" t="str">
        <f>IF(CH24=99,"", CONCATENATE("10.0.",TEXT(((BITWISE_AND('IP Address (no mod)'!$D$20,CI$19)/4)+CH24*8),"0"),".",TEXT((BITWISE_AND('IP Address (no mod)'!$D$21,CI$19)*64)+CE$23*10+CG24,"0")))</f>
        <v>10.0.10.64</v>
      </c>
      <c r="CK24" s="100">
        <f t="shared" ref="CK24:CK33" si="10">IF(CJ24="",0,COUNTIF($I$23:$I$111,CJ24)+COUNTIF($R$23:$R$111,CJ24)+COUNTIF($AA$23:$AA$111,CJ24)+COUNTIF($AJ$23:$AJ$111,CJ24)+COUNTIF($AQ$23:$AQ$111,CJ24)+COUNTIF($AZ$23:$AZ$111,CJ24)+COUNTIF($BI$23:$BI$111,CJ24)+COUNTIF($BR$23:$BR$111,CJ24)+COUNTIF($CA$23:$CA$111,CJ24)+COUNTIF($CJ$23:$CJ$111,CJ24)+COUNTIF($CS$23:$CS$111,CJ24)+COUNTIF($DB$23:$DB$111,CJ24)+COUNTIF($DK$23:$DK$111,CJ24)+COUNTIF($DT$23:$DT$111,CJ24)+COUNTIF($EC$23:$EC$111,CJ24)+COUNTIF($EL$23:$EL$111,CJ24)-1)</f>
        <v>1</v>
      </c>
      <c r="CL24" s="98"/>
      <c r="CM24" s="55"/>
      <c r="CN24" s="329" t="s">
        <v>239</v>
      </c>
      <c r="CO24" s="61" t="s">
        <v>241</v>
      </c>
      <c r="CP24" s="61">
        <v>0</v>
      </c>
      <c r="CQ24" s="61">
        <v>1</v>
      </c>
      <c r="CR24" s="62" t="s">
        <v>72</v>
      </c>
      <c r="CS24" s="14" t="str">
        <f>IF(CQ24=99,"", CONCATENATE("10.0.",TEXT(((BITWISE_AND('IP Address (no mod)'!$D$20,CR$19)/4)+CQ24*8),"0"),".",TEXT((BITWISE_AND('IP Address (no mod)'!$D$21,CR$19)*64)+CN$23*10+CP24,"0")))</f>
        <v>10.0.10.128</v>
      </c>
      <c r="CT24" s="100">
        <f t="shared" ref="CT24:CT33" si="11">IF(CS24="",0,COUNTIF($I$23:$I$111,CS24)+COUNTIF($R$23:$R$111,CS24)+COUNTIF($AA$23:$AA$111,CS24)+COUNTIF($AJ$23:$AJ$111,CS24)+COUNTIF($AQ$23:$AQ$111,CS24)+COUNTIF($AZ$23:$AZ$111,CS24)+COUNTIF($BI$23:$BI$111,CS24)+COUNTIF($BR$23:$BR$111,CS24)+COUNTIF($CA$23:$CA$111,CS24)+COUNTIF($CJ$23:$CJ$111,CS24)+COUNTIF($CS$23:$CS$111,CS24)+COUNTIF($DB$23:$DB$111,CS24)+COUNTIF($DK$23:$DK$111,CS24)+COUNTIF($DT$23:$DT$111,CS24)+COUNTIF($EC$23:$EC$111,CS24)+COUNTIF($EL$23:$EL$111,CS24)-1)</f>
        <v>1</v>
      </c>
      <c r="CU24" s="98"/>
      <c r="CV24" s="55"/>
      <c r="CW24" s="329" t="s">
        <v>239</v>
      </c>
      <c r="CX24" s="61" t="s">
        <v>241</v>
      </c>
      <c r="CY24" s="61">
        <v>0</v>
      </c>
      <c r="CZ24" s="61">
        <v>1</v>
      </c>
      <c r="DA24" s="62" t="s">
        <v>72</v>
      </c>
      <c r="DB24" s="14" t="str">
        <f>IF(CZ24=99,"", CONCATENATE("10.0.",TEXT(((BITWISE_AND('IP Address (no mod)'!$D$20,DA$19)/4)+CZ24*8),"0"),".",TEXT((BITWISE_AND('IP Address (no mod)'!$D$21,DA$19)*64)+CW$23*10+CY24,"0")))</f>
        <v>10.0.10.192</v>
      </c>
      <c r="DC24" s="100">
        <f t="shared" ref="DC24:DC33" si="12">IF(DB24="",0,COUNTIF($I$23:$I$111,DB24)+COUNTIF($R$23:$R$111,DB24)+COUNTIF($AA$23:$AA$111,DB24)+COUNTIF($AJ$23:$AJ$111,DB24)+COUNTIF($AQ$23:$AQ$111,DB24)+COUNTIF($AZ$23:$AZ$111,DB24)+COUNTIF($BI$23:$BI$111,DB24)+COUNTIF($BR$23:$BR$111,DB24)+COUNTIF($CA$23:$CA$111,DB24)+COUNTIF($CJ$23:$CJ$111,DB24)+COUNTIF($CS$23:$CS$111,DB24)+COUNTIF($DB$23:$DB$111,DB24)+COUNTIF($DK$23:$DK$111,DB24)+COUNTIF($DT$23:$DT$111,DB24)+COUNTIF($EC$23:$EC$111,DB24)+COUNTIF($EL$23:$EL$111,DB24)-1)</f>
        <v>1</v>
      </c>
      <c r="DD24" s="98"/>
      <c r="DE24" s="55"/>
      <c r="DF24" s="329" t="s">
        <v>239</v>
      </c>
      <c r="DG24" s="61" t="s">
        <v>241</v>
      </c>
      <c r="DH24" s="61">
        <v>0</v>
      </c>
      <c r="DI24" s="61">
        <v>1</v>
      </c>
      <c r="DJ24" s="62" t="s">
        <v>72</v>
      </c>
      <c r="DK24" s="14" t="str">
        <f>IF(DI24=99,"", CONCATENATE("10.0.",TEXT(((BITWISE_AND('IP Address (no mod)'!$D$20,DJ$19)/4)+DI24*8),"0"),".",TEXT((BITWISE_AND('IP Address (no mod)'!$D$21,DJ$19)*64)+DF$23*10+DH24,"0")))</f>
        <v>10.0.11.0</v>
      </c>
      <c r="DL24" s="100">
        <f t="shared" ref="DL24:DL33" si="13">IF(DK24="",0,COUNTIF($I$23:$I$111,DK24)+COUNTIF($R$23:$R$111,DK24)+COUNTIF($AA$23:$AA$111,DK24)+COUNTIF($AJ$23:$AJ$111,DK24)+COUNTIF($AQ$23:$AQ$111,DK24)+COUNTIF($AZ$23:$AZ$111,DK24)+COUNTIF($BI$23:$BI$111,DK24)+COUNTIF($BR$23:$BR$111,DK24)+COUNTIF($CA$23:$CA$111,DK24)+COUNTIF($CJ$23:$CJ$111,DK24)+COUNTIF($CS$23:$CS$111,DK24)+COUNTIF($DB$23:$DB$111,DK24)+COUNTIF($DK$23:$DK$111,DK24)+COUNTIF($DT$23:$DT$111,DK24)+COUNTIF($EC$23:$EC$111,DK24)+COUNTIF($EL$23:$EL$111,DK24)-1)</f>
        <v>1</v>
      </c>
      <c r="DM24" s="98"/>
      <c r="DN24" s="55"/>
      <c r="DO24" s="329" t="s">
        <v>239</v>
      </c>
      <c r="DP24" s="61" t="s">
        <v>241</v>
      </c>
      <c r="DQ24" s="61">
        <v>0</v>
      </c>
      <c r="DR24" s="61">
        <v>1</v>
      </c>
      <c r="DS24" s="62" t="s">
        <v>72</v>
      </c>
      <c r="DT24" s="14" t="str">
        <f>IF(DR24=99,"", CONCATENATE("10.0.",TEXT(((BITWISE_AND('IP Address (no mod)'!$D$20,DS$19)/4)+DR24*8),"0"),".",TEXT((BITWISE_AND('IP Address (no mod)'!$D$21,DS$19)*64)+DO$23*10+DQ24,"0")))</f>
        <v>10.0.11.64</v>
      </c>
      <c r="DU24" s="100">
        <f t="shared" ref="DU24:DU33" si="14">IF(DT24="",0,COUNTIF($I$23:$I$111,DT24)+COUNTIF($R$23:$R$111,DT24)+COUNTIF($AA$23:$AA$111,DT24)+COUNTIF($AJ$23:$AJ$111,DT24)+COUNTIF($AQ$23:$AQ$111,DT24)+COUNTIF($AZ$23:$AZ$111,DT24)+COUNTIF($BI$23:$BI$111,DT24)+COUNTIF($BR$23:$BR$111,DT24)+COUNTIF($CA$23:$CA$111,DT24)+COUNTIF($CJ$23:$CJ$111,DT24)+COUNTIF($CS$23:$CS$111,DT24)+COUNTIF($DB$23:$DB$111,DT24)+COUNTIF($DK$23:$DK$111,DT24)+COUNTIF($DT$23:$DT$111,DT24)+COUNTIF($EC$23:$EC$111,DT24)+COUNTIF($EL$23:$EL$111,DT24)-1)</f>
        <v>1</v>
      </c>
      <c r="DV24" s="98"/>
      <c r="DW24" s="55"/>
      <c r="DX24" s="329" t="s">
        <v>239</v>
      </c>
      <c r="DY24" s="61" t="s">
        <v>241</v>
      </c>
      <c r="DZ24" s="61">
        <v>0</v>
      </c>
      <c r="EA24" s="61">
        <v>1</v>
      </c>
      <c r="EB24" s="62" t="s">
        <v>72</v>
      </c>
      <c r="EC24" s="14" t="str">
        <f>IF(EA24=99,"", CONCATENATE("10.0.",TEXT(((BITWISE_AND('IP Address (no mod)'!$D$20,EB$19)/4)+EA24*8),"0"),".",TEXT((BITWISE_AND('IP Address (no mod)'!$D$21,EB$19)*64)+DX$23*10+DZ24,"0")))</f>
        <v>10.0.11.128</v>
      </c>
      <c r="ED24" s="100">
        <f t="shared" ref="ED24:ED33" si="15">IF(EC24="",0,COUNTIF($I$23:$I$111,EC24)+COUNTIF($R$23:$R$111,EC24)+COUNTIF($AA$23:$AA$111,EC24)+COUNTIF($AJ$23:$AJ$111,EC24)+COUNTIF($AQ$23:$AQ$111,EC24)+COUNTIF($AZ$23:$AZ$111,EC24)+COUNTIF($BI$23:$BI$111,EC24)+COUNTIF($BR$23:$BR$111,EC24)+COUNTIF($CA$23:$CA$111,EC24)+COUNTIF($CJ$23:$CJ$111,EC24)+COUNTIF($CS$23:$CS$111,EC24)+COUNTIF($DB$23:$DB$111,EC24)+COUNTIF($DK$23:$DK$111,EC24)+COUNTIF($DT$23:$DT$111,EC24)+COUNTIF($EC$23:$EC$111,EC24)+COUNTIF($EL$23:$EL$111,EC24)-1)</f>
        <v>1</v>
      </c>
      <c r="EE24" s="98"/>
      <c r="EF24" s="55"/>
      <c r="EG24" s="329" t="s">
        <v>239</v>
      </c>
      <c r="EH24" s="61" t="s">
        <v>241</v>
      </c>
      <c r="EI24" s="61">
        <v>0</v>
      </c>
      <c r="EJ24" s="125">
        <v>1</v>
      </c>
      <c r="EK24" s="126" t="s">
        <v>72</v>
      </c>
      <c r="EL24" s="14" t="str">
        <f>CONCATENATE("10.0.",TEXT(((BITWISE_AND('IP Address (no mod)'!$D$20,EK$19)/4)+EJ24*8),"0"),".",TEXT((BITWISE_AND('IP Address (no mod)'!$D$21,EK$19)*64)+EG$23*10+EI24,"0"))</f>
        <v>10.0.11.192</v>
      </c>
      <c r="EM24" s="100">
        <f t="shared" si="0"/>
        <v>1</v>
      </c>
      <c r="EN24" s="95"/>
    </row>
    <row r="25" spans="1:144" ht="15" customHeight="1">
      <c r="A25" s="319"/>
      <c r="B25" s="93"/>
      <c r="C25" s="55"/>
      <c r="D25" s="330"/>
      <c r="E25" s="15" t="s">
        <v>243</v>
      </c>
      <c r="F25" s="63">
        <v>1</v>
      </c>
      <c r="G25" s="63">
        <v>2</v>
      </c>
      <c r="H25" s="64" t="s">
        <v>244</v>
      </c>
      <c r="I25" s="3" t="str">
        <f>IF(G25=99,"", CONCATENATE("10.0.",TEXT(((BITWISE_AND('IP Address (no mod)'!$D$20,H$19)/4)+G25*8),"0"),".",TEXT((BITWISE_AND('IP Address (no mod)'!$D$21,H$19)*64)+D$23*10+F25,"0")))</f>
        <v>10.0.16.65</v>
      </c>
      <c r="J25" s="100">
        <f t="shared" si="1"/>
        <v>0</v>
      </c>
      <c r="K25" s="95"/>
      <c r="L25" s="55"/>
      <c r="M25" s="330"/>
      <c r="N25" s="63" t="s">
        <v>243</v>
      </c>
      <c r="O25" s="63">
        <v>1</v>
      </c>
      <c r="P25" s="63">
        <v>2</v>
      </c>
      <c r="Q25" s="64" t="s">
        <v>244</v>
      </c>
      <c r="R25" s="3" t="str">
        <f>IF(P25=99,"", CONCATENATE("10.0.",TEXT(((BITWISE_AND('IP Address (no mod)'!$D$20,Q$19)/4)+P25*8),"0"),".",TEXT((BITWISE_AND('IP Address (no mod)'!$D$21,Q$19)*64)+M$23*10+O25,"0")))</f>
        <v>10.0.16.129</v>
      </c>
      <c r="S25" s="100">
        <f t="shared" si="2"/>
        <v>0</v>
      </c>
      <c r="T25" s="98"/>
      <c r="U25" s="55"/>
      <c r="V25" s="330"/>
      <c r="W25" s="63" t="s">
        <v>243</v>
      </c>
      <c r="X25" s="63">
        <v>1</v>
      </c>
      <c r="Y25" s="63">
        <v>2</v>
      </c>
      <c r="Z25" s="64" t="s">
        <v>244</v>
      </c>
      <c r="AA25" s="3" t="str">
        <f>IF(Y25=99,"", CONCATENATE("10.0.",TEXT(((BITWISE_AND('IP Address (no mod)'!$D$20,Z$19)/4)+Y25*8),"0"),".",TEXT((BITWISE_AND('IP Address (no mod)'!$D$21,Z$19)*64)+V$23*10+X25,"0")))</f>
        <v>10.0.16.193</v>
      </c>
      <c r="AB25" s="100">
        <f t="shared" si="3"/>
        <v>0</v>
      </c>
      <c r="AC25" s="98"/>
      <c r="AD25" s="55"/>
      <c r="AE25" s="330"/>
      <c r="AF25" s="63" t="s">
        <v>243</v>
      </c>
      <c r="AG25" s="63">
        <v>1</v>
      </c>
      <c r="AH25" s="63">
        <v>2</v>
      </c>
      <c r="AI25" s="64" t="s">
        <v>244</v>
      </c>
      <c r="AJ25" s="3" t="str">
        <f>IF(AH25=99,"", CONCATENATE("10.0.",TEXT(((BITWISE_AND('IP Address (no mod)'!$D$20,AI$19)/4)+AH25*8),"0"),".",TEXT((BITWISE_AND('IP Address (no mod)'!$D$21,AI$19)*64)+AE$23*10+AG25,"0")))</f>
        <v>10.0.21.129</v>
      </c>
      <c r="AK25" s="100">
        <f t="shared" si="4"/>
        <v>0</v>
      </c>
      <c r="AL25" s="330"/>
      <c r="AM25" s="63" t="s">
        <v>243</v>
      </c>
      <c r="AN25" s="1">
        <v>1</v>
      </c>
      <c r="AO25" s="63">
        <v>99</v>
      </c>
      <c r="AP25" s="64"/>
      <c r="AQ25" s="3" t="str">
        <f>IF(AO25=99,"", CONCATENATE("10.0.",TEXT(((BITWISE_AND('IP Address (no mod)'!$D$20,AI$19)/4)+AO25*8),"0"),".",TEXT((BITWISE_AND('IP Address (no mod)'!$D$21,AI$19)*64)+AL$23*10+AN25,"0")))</f>
        <v/>
      </c>
      <c r="AR25" s="100">
        <f t="shared" si="5"/>
        <v>0</v>
      </c>
      <c r="AS25" s="98"/>
      <c r="AT25" s="55"/>
      <c r="AU25" s="330"/>
      <c r="AV25" s="63" t="s">
        <v>243</v>
      </c>
      <c r="AW25" s="63">
        <v>1</v>
      </c>
      <c r="AX25" s="63">
        <v>2</v>
      </c>
      <c r="AY25" s="64" t="s">
        <v>244</v>
      </c>
      <c r="AZ25" s="3" t="str">
        <f>IF(AX25=99,"", CONCATENATE("10.0.",TEXT(((BITWISE_AND('IP Address (no mod)'!$D$20,AY$19)/4)+AX25*8),"0"),".",TEXT((BITWISE_AND('IP Address (no mod)'!$D$21,AY$19)*64)+AU$23*10+AW25,"0")))</f>
        <v>10.0.17.65</v>
      </c>
      <c r="BA25" s="100">
        <f t="shared" si="6"/>
        <v>0</v>
      </c>
      <c r="BB25" s="98"/>
      <c r="BC25" s="55"/>
      <c r="BD25" s="330"/>
      <c r="BE25" s="63" t="s">
        <v>243</v>
      </c>
      <c r="BF25" s="63">
        <v>1</v>
      </c>
      <c r="BG25" s="63">
        <v>2</v>
      </c>
      <c r="BH25" s="64" t="s">
        <v>244</v>
      </c>
      <c r="BI25" s="3" t="str">
        <f>IF(BG25=99,"", CONCATENATE("10.0.",TEXT(((BITWISE_AND('IP Address (no mod)'!$D$20,BH$19)/4)+BG25*8),"0"),".",TEXT((BITWISE_AND('IP Address (no mod)'!$D$21,BH$19)*64)+BD$23*10+BF25,"0")))</f>
        <v>10.0.17.129</v>
      </c>
      <c r="BJ25" s="100">
        <f t="shared" si="7"/>
        <v>0</v>
      </c>
      <c r="BK25" s="98"/>
      <c r="BL25" s="55"/>
      <c r="BM25" s="330"/>
      <c r="BN25" s="63" t="s">
        <v>243</v>
      </c>
      <c r="BO25" s="63">
        <v>1</v>
      </c>
      <c r="BP25" s="63">
        <v>2</v>
      </c>
      <c r="BQ25" s="64" t="s">
        <v>244</v>
      </c>
      <c r="BR25" s="3" t="str">
        <f>IF(BP25=99,"", CONCATENATE("10.0.",TEXT(((BITWISE_AND('IP Address (no mod)'!$D$20,BQ$19)/4)+BP25*8),"0"),".",TEXT((BITWISE_AND('IP Address (no mod)'!$D$21,BQ$19)*64)+BM$23*10+BO25,"0")))</f>
        <v>10.0.17.193</v>
      </c>
      <c r="BS25" s="100">
        <f t="shared" si="8"/>
        <v>0</v>
      </c>
      <c r="BT25" s="98"/>
      <c r="BU25" s="55"/>
      <c r="BV25" s="330"/>
      <c r="BW25" s="63" t="s">
        <v>243</v>
      </c>
      <c r="BX25" s="63">
        <v>1</v>
      </c>
      <c r="BY25" s="63">
        <v>2</v>
      </c>
      <c r="BZ25" s="64" t="s">
        <v>244</v>
      </c>
      <c r="CA25" s="3" t="str">
        <f>IF(BY25=99,"", CONCATENATE("10.0.",TEXT(((BITWISE_AND('IP Address (no mod)'!$D$20,BZ$19)/4)+BY25*8),"0"),".",TEXT((BITWISE_AND('IP Address (no mod)'!$D$21,BZ$19)*64)+BV$23*10+BX25,"0")))</f>
        <v>10.0.18.1</v>
      </c>
      <c r="CB25" s="100">
        <f t="shared" si="9"/>
        <v>0</v>
      </c>
      <c r="CC25" s="98"/>
      <c r="CD25" s="55"/>
      <c r="CE25" s="330"/>
      <c r="CF25" s="63" t="s">
        <v>243</v>
      </c>
      <c r="CG25" s="63">
        <v>1</v>
      </c>
      <c r="CH25" s="63">
        <v>2</v>
      </c>
      <c r="CI25" s="64" t="s">
        <v>244</v>
      </c>
      <c r="CJ25" s="3" t="str">
        <f>IF(CH25=99,"", CONCATENATE("10.0.",TEXT(((BITWISE_AND('IP Address (no mod)'!$D$20,CI$19)/4)+CH25*8),"0"),".",TEXT((BITWISE_AND('IP Address (no mod)'!$D$21,CI$19)*64)+CE$23*10+CG25,"0")))</f>
        <v>10.0.18.65</v>
      </c>
      <c r="CK25" s="100">
        <f t="shared" si="10"/>
        <v>0</v>
      </c>
      <c r="CL25" s="98"/>
      <c r="CM25" s="55"/>
      <c r="CN25" s="330"/>
      <c r="CO25" s="63" t="s">
        <v>243</v>
      </c>
      <c r="CP25" s="63">
        <v>1</v>
      </c>
      <c r="CQ25" s="63">
        <v>2</v>
      </c>
      <c r="CR25" s="64" t="s">
        <v>244</v>
      </c>
      <c r="CS25" s="3" t="str">
        <f>IF(CQ25=99,"", CONCATENATE("10.0.",TEXT(((BITWISE_AND('IP Address (no mod)'!$D$20,CR$19)/4)+CQ25*8),"0"),".",TEXT((BITWISE_AND('IP Address (no mod)'!$D$21,CR$19)*64)+CN$23*10+CP25,"0")))</f>
        <v>10.0.18.129</v>
      </c>
      <c r="CT25" s="100">
        <f t="shared" si="11"/>
        <v>0</v>
      </c>
      <c r="CU25" s="98"/>
      <c r="CV25" s="55"/>
      <c r="CW25" s="330"/>
      <c r="CX25" s="63" t="s">
        <v>243</v>
      </c>
      <c r="CY25" s="63">
        <v>1</v>
      </c>
      <c r="CZ25" s="63">
        <v>2</v>
      </c>
      <c r="DA25" s="64" t="s">
        <v>244</v>
      </c>
      <c r="DB25" s="3" t="str">
        <f>IF(CZ25=99,"", CONCATENATE("10.0.",TEXT(((BITWISE_AND('IP Address (no mod)'!$D$20,DA$19)/4)+CZ25*8),"0"),".",TEXT((BITWISE_AND('IP Address (no mod)'!$D$21,DA$19)*64)+CW$23*10+CY25,"0")))</f>
        <v>10.0.18.193</v>
      </c>
      <c r="DC25" s="100">
        <f t="shared" si="12"/>
        <v>0</v>
      </c>
      <c r="DD25" s="98"/>
      <c r="DE25" s="55"/>
      <c r="DF25" s="330"/>
      <c r="DG25" s="63" t="s">
        <v>243</v>
      </c>
      <c r="DH25" s="63">
        <v>1</v>
      </c>
      <c r="DI25" s="63">
        <v>2</v>
      </c>
      <c r="DJ25" s="64" t="s">
        <v>244</v>
      </c>
      <c r="DK25" s="3" t="str">
        <f>IF(DI25=99,"", CONCATENATE("10.0.",TEXT(((BITWISE_AND('IP Address (no mod)'!$D$20,DJ$19)/4)+DI25*8),"0"),".",TEXT((BITWISE_AND('IP Address (no mod)'!$D$21,DJ$19)*64)+DF$23*10+DH25,"0")))</f>
        <v>10.0.19.1</v>
      </c>
      <c r="DL25" s="100">
        <f t="shared" si="13"/>
        <v>0</v>
      </c>
      <c r="DM25" s="98"/>
      <c r="DN25" s="55"/>
      <c r="DO25" s="330"/>
      <c r="DP25" s="63" t="s">
        <v>243</v>
      </c>
      <c r="DQ25" s="63">
        <v>1</v>
      </c>
      <c r="DR25" s="63">
        <v>2</v>
      </c>
      <c r="DS25" s="64" t="s">
        <v>244</v>
      </c>
      <c r="DT25" s="3" t="str">
        <f>IF(DR25=99,"", CONCATENATE("10.0.",TEXT(((BITWISE_AND('IP Address (no mod)'!$D$20,DS$19)/4)+DR25*8),"0"),".",TEXT((BITWISE_AND('IP Address (no mod)'!$D$21,DS$19)*64)+DO$23*10+DQ25,"0")))</f>
        <v>10.0.19.65</v>
      </c>
      <c r="DU25" s="100">
        <f t="shared" si="14"/>
        <v>0</v>
      </c>
      <c r="DV25" s="98"/>
      <c r="DW25" s="55"/>
      <c r="DX25" s="330"/>
      <c r="DY25" s="63" t="s">
        <v>243</v>
      </c>
      <c r="DZ25" s="63">
        <v>1</v>
      </c>
      <c r="EA25" s="63">
        <v>2</v>
      </c>
      <c r="EB25" s="64" t="s">
        <v>244</v>
      </c>
      <c r="EC25" s="3" t="str">
        <f>IF(EA25=99,"", CONCATENATE("10.0.",TEXT(((BITWISE_AND('IP Address (no mod)'!$D$20,EB$19)/4)+EA25*8),"0"),".",TEXT((BITWISE_AND('IP Address (no mod)'!$D$21,EB$19)*64)+DX$23*10+DZ25,"0")))</f>
        <v>10.0.19.129</v>
      </c>
      <c r="ED25" s="100">
        <f t="shared" si="15"/>
        <v>0</v>
      </c>
      <c r="EE25" s="98"/>
      <c r="EF25" s="55"/>
      <c r="EG25" s="330"/>
      <c r="EH25" s="63" t="s">
        <v>243</v>
      </c>
      <c r="EI25" s="63">
        <v>1</v>
      </c>
      <c r="EJ25" s="63">
        <v>2</v>
      </c>
      <c r="EK25" s="64" t="s">
        <v>244</v>
      </c>
      <c r="EL25" s="3" t="str">
        <f>CONCATENATE("10.0.",TEXT(((BITWISE_AND('IP Address (no mod)'!$D$20,EK$19)/4)+EJ25*8),"0"),".",TEXT((BITWISE_AND('IP Address (no mod)'!$D$21,EK$19)*64)+EG$23*10+EI25,"0"))</f>
        <v>10.0.19.193</v>
      </c>
      <c r="EM25" s="100">
        <f t="shared" si="0"/>
        <v>0</v>
      </c>
      <c r="EN25" s="95"/>
    </row>
    <row r="26" spans="1:144">
      <c r="A26" s="319"/>
      <c r="B26" s="93"/>
      <c r="C26" s="55"/>
      <c r="D26" s="330"/>
      <c r="E26" s="15" t="s">
        <v>245</v>
      </c>
      <c r="F26" s="63">
        <v>2</v>
      </c>
      <c r="G26" s="63">
        <v>2</v>
      </c>
      <c r="H26" s="64" t="s">
        <v>246</v>
      </c>
      <c r="I26" s="3" t="str">
        <f>IF(G26=99,"", CONCATENATE("10.0.",TEXT(((BITWISE_AND('IP Address (no mod)'!$D$20,H$19)/4)+G26*8),"0"),".",TEXT((BITWISE_AND('IP Address (no mod)'!$D$21,H$19)*64)+D$23*10+F26,"0")))</f>
        <v>10.0.16.66</v>
      </c>
      <c r="J26" s="100">
        <f t="shared" si="1"/>
        <v>0</v>
      </c>
      <c r="K26" s="95"/>
      <c r="L26" s="55"/>
      <c r="M26" s="330"/>
      <c r="N26" s="63" t="s">
        <v>245</v>
      </c>
      <c r="O26" s="63">
        <v>2</v>
      </c>
      <c r="P26" s="63">
        <v>2</v>
      </c>
      <c r="Q26" s="64" t="s">
        <v>246</v>
      </c>
      <c r="R26" s="3" t="str">
        <f>IF(P26=99,"", CONCATENATE("10.0.",TEXT(((BITWISE_AND('IP Address (no mod)'!$D$20,Q$19)/4)+P26*8),"0"),".",TEXT((BITWISE_AND('IP Address (no mod)'!$D$21,Q$19)*64)+M$23*10+O26,"0")))</f>
        <v>10.0.16.130</v>
      </c>
      <c r="S26" s="100">
        <f t="shared" si="2"/>
        <v>0</v>
      </c>
      <c r="T26" s="98"/>
      <c r="U26" s="55"/>
      <c r="V26" s="330"/>
      <c r="W26" s="63" t="s">
        <v>245</v>
      </c>
      <c r="X26" s="63">
        <v>2</v>
      </c>
      <c r="Y26" s="63">
        <v>2</v>
      </c>
      <c r="Z26" s="64" t="s">
        <v>246</v>
      </c>
      <c r="AA26" s="3" t="str">
        <f>IF(Y26=99,"", CONCATENATE("10.0.",TEXT(((BITWISE_AND('IP Address (no mod)'!$D$20,Z$19)/4)+Y26*8),"0"),".",TEXT((BITWISE_AND('IP Address (no mod)'!$D$21,Z$19)*64)+V$23*10+X26,"0")))</f>
        <v>10.0.16.194</v>
      </c>
      <c r="AB26" s="100">
        <f t="shared" si="3"/>
        <v>0</v>
      </c>
      <c r="AC26" s="98"/>
      <c r="AD26" s="55"/>
      <c r="AE26" s="330"/>
      <c r="AF26" s="63" t="s">
        <v>245</v>
      </c>
      <c r="AG26" s="63">
        <v>2</v>
      </c>
      <c r="AH26" s="63">
        <v>2</v>
      </c>
      <c r="AI26" s="64" t="s">
        <v>246</v>
      </c>
      <c r="AJ26" s="3" t="str">
        <f>IF(AH26=99,"", CONCATENATE("10.0.",TEXT(((BITWISE_AND('IP Address (no mod)'!$D$20,AI$19)/4)+AH26*8),"0"),".",TEXT((BITWISE_AND('IP Address (no mod)'!$D$21,AI$19)*64)+AE$23*10+AG26,"0")))</f>
        <v>10.0.21.130</v>
      </c>
      <c r="AK26" s="100">
        <f t="shared" si="4"/>
        <v>0</v>
      </c>
      <c r="AL26" s="330"/>
      <c r="AM26" s="63" t="s">
        <v>245</v>
      </c>
      <c r="AN26" s="1">
        <v>2</v>
      </c>
      <c r="AO26" s="63">
        <v>2</v>
      </c>
      <c r="AP26" s="64" t="s">
        <v>247</v>
      </c>
      <c r="AQ26" s="3" t="str">
        <f>IF(AO26=99,"", CONCATENATE("10.0.",TEXT(((BITWISE_AND('IP Address (no mod)'!$D$20,AI$19)/4)+AO26*8),"0"),".",TEXT((BITWISE_AND('IP Address (no mod)'!$D$21,AI$19)*64)+AL$23*10+AN26,"0")))</f>
        <v>10.0.21.170</v>
      </c>
      <c r="AR26" s="100">
        <f t="shared" si="5"/>
        <v>0</v>
      </c>
      <c r="AS26" s="98"/>
      <c r="AT26" s="55"/>
      <c r="AU26" s="330"/>
      <c r="AV26" s="63" t="s">
        <v>245</v>
      </c>
      <c r="AW26" s="63">
        <v>2</v>
      </c>
      <c r="AX26" s="63">
        <v>2</v>
      </c>
      <c r="AY26" s="64" t="s">
        <v>246</v>
      </c>
      <c r="AZ26" s="3" t="str">
        <f>IF(AX26=99,"", CONCATENATE("10.0.",TEXT(((BITWISE_AND('IP Address (no mod)'!$D$20,AY$19)/4)+AX26*8),"0"),".",TEXT((BITWISE_AND('IP Address (no mod)'!$D$21,AY$19)*64)+AU$23*10+AW26,"0")))</f>
        <v>10.0.17.66</v>
      </c>
      <c r="BA26" s="100">
        <f t="shared" si="6"/>
        <v>0</v>
      </c>
      <c r="BB26" s="98"/>
      <c r="BC26" s="55"/>
      <c r="BD26" s="330"/>
      <c r="BE26" s="63" t="s">
        <v>245</v>
      </c>
      <c r="BF26" s="63">
        <v>2</v>
      </c>
      <c r="BG26" s="63">
        <v>2</v>
      </c>
      <c r="BH26" s="64" t="s">
        <v>246</v>
      </c>
      <c r="BI26" s="3" t="str">
        <f>IF(BG26=99,"", CONCATENATE("10.0.",TEXT(((BITWISE_AND('IP Address (no mod)'!$D$20,BH$19)/4)+BG26*8),"0"),".",TEXT((BITWISE_AND('IP Address (no mod)'!$D$21,BH$19)*64)+BD$23*10+BF26,"0")))</f>
        <v>10.0.17.130</v>
      </c>
      <c r="BJ26" s="100">
        <f t="shared" si="7"/>
        <v>0</v>
      </c>
      <c r="BK26" s="98"/>
      <c r="BL26" s="55"/>
      <c r="BM26" s="330"/>
      <c r="BN26" s="63" t="s">
        <v>245</v>
      </c>
      <c r="BO26" s="63">
        <v>2</v>
      </c>
      <c r="BP26" s="63">
        <v>2</v>
      </c>
      <c r="BQ26" s="64" t="s">
        <v>246</v>
      </c>
      <c r="BR26" s="3" t="str">
        <f>IF(BP26=99,"", CONCATENATE("10.0.",TEXT(((BITWISE_AND('IP Address (no mod)'!$D$20,BQ$19)/4)+BP26*8),"0"),".",TEXT((BITWISE_AND('IP Address (no mod)'!$D$21,BQ$19)*64)+BM$23*10+BO26,"0")))</f>
        <v>10.0.17.194</v>
      </c>
      <c r="BS26" s="100">
        <f t="shared" si="8"/>
        <v>0</v>
      </c>
      <c r="BT26" s="98"/>
      <c r="BU26" s="55"/>
      <c r="BV26" s="330"/>
      <c r="BW26" s="63" t="s">
        <v>245</v>
      </c>
      <c r="BX26" s="63">
        <v>2</v>
      </c>
      <c r="BY26" s="63">
        <v>2</v>
      </c>
      <c r="BZ26" s="64" t="s">
        <v>246</v>
      </c>
      <c r="CA26" s="3" t="str">
        <f>IF(BY26=99,"", CONCATENATE("10.0.",TEXT(((BITWISE_AND('IP Address (no mod)'!$D$20,BZ$19)/4)+BY26*8),"0"),".",TEXT((BITWISE_AND('IP Address (no mod)'!$D$21,BZ$19)*64)+BV$23*10+BX26,"0")))</f>
        <v>10.0.18.2</v>
      </c>
      <c r="CB26" s="100">
        <f t="shared" si="9"/>
        <v>0</v>
      </c>
      <c r="CC26" s="98"/>
      <c r="CD26" s="55"/>
      <c r="CE26" s="330"/>
      <c r="CF26" s="63" t="s">
        <v>245</v>
      </c>
      <c r="CG26" s="63">
        <v>2</v>
      </c>
      <c r="CH26" s="63">
        <v>2</v>
      </c>
      <c r="CI26" s="64" t="s">
        <v>246</v>
      </c>
      <c r="CJ26" s="3" t="str">
        <f>IF(CH26=99,"", CONCATENATE("10.0.",TEXT(((BITWISE_AND('IP Address (no mod)'!$D$20,CI$19)/4)+CH26*8),"0"),".",TEXT((BITWISE_AND('IP Address (no mod)'!$D$21,CI$19)*64)+CE$23*10+CG26,"0")))</f>
        <v>10.0.18.66</v>
      </c>
      <c r="CK26" s="100">
        <f t="shared" si="10"/>
        <v>0</v>
      </c>
      <c r="CL26" s="98"/>
      <c r="CM26" s="55"/>
      <c r="CN26" s="330"/>
      <c r="CO26" s="63" t="s">
        <v>245</v>
      </c>
      <c r="CP26" s="63">
        <v>2</v>
      </c>
      <c r="CQ26" s="63">
        <v>2</v>
      </c>
      <c r="CR26" s="64" t="s">
        <v>246</v>
      </c>
      <c r="CS26" s="3" t="str">
        <f>IF(CQ26=99,"", CONCATENATE("10.0.",TEXT(((BITWISE_AND('IP Address (no mod)'!$D$20,CR$19)/4)+CQ26*8),"0"),".",TEXT((BITWISE_AND('IP Address (no mod)'!$D$21,CR$19)*64)+CN$23*10+CP26,"0")))</f>
        <v>10.0.18.130</v>
      </c>
      <c r="CT26" s="100">
        <f t="shared" si="11"/>
        <v>0</v>
      </c>
      <c r="CU26" s="98"/>
      <c r="CV26" s="55"/>
      <c r="CW26" s="330"/>
      <c r="CX26" s="63" t="s">
        <v>245</v>
      </c>
      <c r="CY26" s="63">
        <v>2</v>
      </c>
      <c r="CZ26" s="63">
        <v>2</v>
      </c>
      <c r="DA26" s="64" t="s">
        <v>246</v>
      </c>
      <c r="DB26" s="3" t="str">
        <f>IF(CZ26=99,"", CONCATENATE("10.0.",TEXT(((BITWISE_AND('IP Address (no mod)'!$D$20,DA$19)/4)+CZ26*8),"0"),".",TEXT((BITWISE_AND('IP Address (no mod)'!$D$21,DA$19)*64)+CW$23*10+CY26,"0")))</f>
        <v>10.0.18.194</v>
      </c>
      <c r="DC26" s="100">
        <f t="shared" si="12"/>
        <v>0</v>
      </c>
      <c r="DD26" s="98"/>
      <c r="DE26" s="55"/>
      <c r="DF26" s="330"/>
      <c r="DG26" s="63" t="s">
        <v>245</v>
      </c>
      <c r="DH26" s="63">
        <v>2</v>
      </c>
      <c r="DI26" s="63">
        <v>2</v>
      </c>
      <c r="DJ26" s="64" t="s">
        <v>246</v>
      </c>
      <c r="DK26" s="3" t="str">
        <f>IF(DI26=99,"", CONCATENATE("10.0.",TEXT(((BITWISE_AND('IP Address (no mod)'!$D$20,DJ$19)/4)+DI26*8),"0"),".",TEXT((BITWISE_AND('IP Address (no mod)'!$D$21,DJ$19)*64)+DF$23*10+DH26,"0")))</f>
        <v>10.0.19.2</v>
      </c>
      <c r="DL26" s="100">
        <f t="shared" si="13"/>
        <v>0</v>
      </c>
      <c r="DM26" s="98"/>
      <c r="DN26" s="55"/>
      <c r="DO26" s="330"/>
      <c r="DP26" s="63" t="s">
        <v>245</v>
      </c>
      <c r="DQ26" s="63">
        <v>2</v>
      </c>
      <c r="DR26" s="63">
        <v>2</v>
      </c>
      <c r="DS26" s="64" t="s">
        <v>246</v>
      </c>
      <c r="DT26" s="3" t="str">
        <f>IF(DR26=99,"", CONCATENATE("10.0.",TEXT(((BITWISE_AND('IP Address (no mod)'!$D$20,DS$19)/4)+DR26*8),"0"),".",TEXT((BITWISE_AND('IP Address (no mod)'!$D$21,DS$19)*64)+DO$23*10+DQ26,"0")))</f>
        <v>10.0.19.66</v>
      </c>
      <c r="DU26" s="100">
        <f t="shared" si="14"/>
        <v>0</v>
      </c>
      <c r="DV26" s="98"/>
      <c r="DW26" s="55"/>
      <c r="DX26" s="330"/>
      <c r="DY26" s="63" t="s">
        <v>245</v>
      </c>
      <c r="DZ26" s="63">
        <v>2</v>
      </c>
      <c r="EA26" s="63">
        <v>2</v>
      </c>
      <c r="EB26" s="64" t="s">
        <v>246</v>
      </c>
      <c r="EC26" s="3" t="str">
        <f>IF(EA26=99,"", CONCATENATE("10.0.",TEXT(((BITWISE_AND('IP Address (no mod)'!$D$20,EB$19)/4)+EA26*8),"0"),".",TEXT((BITWISE_AND('IP Address (no mod)'!$D$21,EB$19)*64)+DX$23*10+DZ26,"0")))</f>
        <v>10.0.19.130</v>
      </c>
      <c r="ED26" s="100">
        <f t="shared" si="15"/>
        <v>0</v>
      </c>
      <c r="EE26" s="98"/>
      <c r="EF26" s="55"/>
      <c r="EG26" s="330"/>
      <c r="EH26" s="63" t="s">
        <v>245</v>
      </c>
      <c r="EI26" s="63">
        <v>2</v>
      </c>
      <c r="EJ26" s="63">
        <v>2</v>
      </c>
      <c r="EK26" s="64" t="s">
        <v>246</v>
      </c>
      <c r="EL26" s="3" t="str">
        <f>CONCATENATE("10.0.",TEXT(((BITWISE_AND('IP Address (no mod)'!$D$20,EK$19)/4)+EJ26*8),"0"),".",TEXT((BITWISE_AND('IP Address (no mod)'!$D$21,EK$19)*64)+EG$23*10+EI26,"0"))</f>
        <v>10.0.19.194</v>
      </c>
      <c r="EM26" s="100">
        <f t="shared" si="0"/>
        <v>0</v>
      </c>
      <c r="EN26" s="95"/>
    </row>
    <row r="27" spans="1:144">
      <c r="A27" s="319"/>
      <c r="B27" s="93"/>
      <c r="C27" s="55"/>
      <c r="D27" s="330"/>
      <c r="E27" s="15" t="s">
        <v>248</v>
      </c>
      <c r="F27" s="63">
        <v>3</v>
      </c>
      <c r="G27" s="63">
        <v>3</v>
      </c>
      <c r="H27" s="64" t="s">
        <v>249</v>
      </c>
      <c r="I27" s="3" t="str">
        <f>IF(G27=99,"", CONCATENATE("10.0.",TEXT(((BITWISE_AND('IP Address (no mod)'!$D$20,H$19)/4)+G27*8),"0"),".",TEXT((BITWISE_AND('IP Address (no mod)'!$D$21,H$19)*64)+D$23*10+F27,"0")))</f>
        <v>10.0.24.67</v>
      </c>
      <c r="J27" s="100">
        <f t="shared" si="1"/>
        <v>0</v>
      </c>
      <c r="K27" s="98"/>
      <c r="L27" s="55"/>
      <c r="M27" s="330"/>
      <c r="N27" s="63" t="s">
        <v>248</v>
      </c>
      <c r="O27" s="63">
        <v>3</v>
      </c>
      <c r="P27" s="63">
        <v>99</v>
      </c>
      <c r="Q27" s="64"/>
      <c r="R27" s="3" t="str">
        <f>IF(P27=99,"", CONCATENATE("10.0.",TEXT(((BITWISE_AND('IP Address (no mod)'!$D$20,Q$19)/4)+P27*8),"0"),".",TEXT((BITWISE_AND('IP Address (no mod)'!$D$21,Q$19)*64)+M$23*10+O27,"0")))</f>
        <v/>
      </c>
      <c r="S27" s="100">
        <f t="shared" si="2"/>
        <v>0</v>
      </c>
      <c r="T27" s="98"/>
      <c r="U27" s="55"/>
      <c r="V27" s="330"/>
      <c r="W27" s="63" t="s">
        <v>248</v>
      </c>
      <c r="X27" s="63">
        <v>3</v>
      </c>
      <c r="Y27" s="63">
        <v>99</v>
      </c>
      <c r="Z27" s="64"/>
      <c r="AA27" s="3" t="str">
        <f>IF(Y27=99,"", CONCATENATE("10.0.",TEXT(((BITWISE_AND('IP Address (no mod)'!$D$20,Z$19)/4)+Y27*8),"0"),".",TEXT((BITWISE_AND('IP Address (no mod)'!$D$21,Z$19)*64)+V$23*10+X27,"0")))</f>
        <v/>
      </c>
      <c r="AB27" s="100">
        <f t="shared" si="3"/>
        <v>0</v>
      </c>
      <c r="AC27" s="98"/>
      <c r="AD27" s="55"/>
      <c r="AE27" s="330"/>
      <c r="AF27" s="63" t="s">
        <v>248</v>
      </c>
      <c r="AG27" s="63">
        <v>3</v>
      </c>
      <c r="AH27" s="63">
        <v>3</v>
      </c>
      <c r="AI27" s="64" t="s">
        <v>249</v>
      </c>
      <c r="AJ27" s="3" t="str">
        <f>IF(AH27=99,"", CONCATENATE("10.0.",TEXT(((BITWISE_AND('IP Address (no mod)'!$D$20,AI$19)/4)+AH27*8),"0"),".",TEXT((BITWISE_AND('IP Address (no mod)'!$D$21,AI$19)*64)+AE$23*10+AG27,"0")))</f>
        <v>10.0.29.131</v>
      </c>
      <c r="AK27" s="100">
        <f t="shared" si="4"/>
        <v>0</v>
      </c>
      <c r="AL27" s="330"/>
      <c r="AM27" s="63" t="s">
        <v>248</v>
      </c>
      <c r="AN27" s="1">
        <v>3</v>
      </c>
      <c r="AO27" s="63">
        <v>3</v>
      </c>
      <c r="AP27" s="64" t="s">
        <v>496</v>
      </c>
      <c r="AQ27" s="3" t="str">
        <f>IF(AO27=99,"", CONCATENATE("10.0.",TEXT(((BITWISE_AND('IP Address (no mod)'!$D$20,AI$19)/4)+AO27*8),"0"),".",TEXT((BITWISE_AND('IP Address (no mod)'!$D$21,AI$19)*64)+AL$23*10+AN27,"0")))</f>
        <v>10.0.29.171</v>
      </c>
      <c r="AR27" s="100">
        <f t="shared" si="5"/>
        <v>0</v>
      </c>
      <c r="AS27" s="98"/>
      <c r="AT27" s="55"/>
      <c r="AU27" s="330"/>
      <c r="AV27" s="63" t="s">
        <v>248</v>
      </c>
      <c r="AW27" s="63">
        <v>3</v>
      </c>
      <c r="AX27" s="63">
        <v>99</v>
      </c>
      <c r="AY27" s="64"/>
      <c r="AZ27" s="3" t="str">
        <f>IF(AX27=99,"", CONCATENATE("10.0.",TEXT(((BITWISE_AND('IP Address (no mod)'!$D$20,AY$19)/4)+AX27*8),"0"),".",TEXT((BITWISE_AND('IP Address (no mod)'!$D$21,AY$19)*64)+AU$23*10+AW27,"0")))</f>
        <v/>
      </c>
      <c r="BA27" s="100">
        <f t="shared" si="6"/>
        <v>0</v>
      </c>
      <c r="BB27" s="98"/>
      <c r="BC27" s="55"/>
      <c r="BD27" s="330"/>
      <c r="BE27" s="63" t="s">
        <v>248</v>
      </c>
      <c r="BF27" s="63">
        <v>3</v>
      </c>
      <c r="BG27" s="63">
        <v>99</v>
      </c>
      <c r="BH27" s="64"/>
      <c r="BI27" s="3" t="str">
        <f>IF(BG27=99,"", CONCATENATE("10.0.",TEXT(((BITWISE_AND('IP Address (no mod)'!$D$20,BH$19)/4)+BG27*8),"0"),".",TEXT((BITWISE_AND('IP Address (no mod)'!$D$21,BH$19)*64)+BD$23*10+BF27,"0")))</f>
        <v/>
      </c>
      <c r="BJ27" s="100">
        <f t="shared" si="7"/>
        <v>0</v>
      </c>
      <c r="BK27" s="98"/>
      <c r="BL27" s="55"/>
      <c r="BM27" s="330"/>
      <c r="BN27" s="63" t="s">
        <v>248</v>
      </c>
      <c r="BO27" s="63">
        <v>3</v>
      </c>
      <c r="BP27" s="63">
        <v>99</v>
      </c>
      <c r="BQ27" s="64"/>
      <c r="BR27" s="3" t="str">
        <f>IF(BP27=99,"", CONCATENATE("10.0.",TEXT(((BITWISE_AND('IP Address (no mod)'!$D$20,BQ$19)/4)+BP27*8),"0"),".",TEXT((BITWISE_AND('IP Address (no mod)'!$D$21,BQ$19)*64)+BM$23*10+BO27,"0")))</f>
        <v/>
      </c>
      <c r="BS27" s="100">
        <f t="shared" si="8"/>
        <v>0</v>
      </c>
      <c r="BT27" s="98"/>
      <c r="BU27" s="55"/>
      <c r="BV27" s="330"/>
      <c r="BW27" s="63" t="s">
        <v>248</v>
      </c>
      <c r="BX27" s="63">
        <v>3</v>
      </c>
      <c r="BY27" s="63">
        <v>99</v>
      </c>
      <c r="BZ27" s="64"/>
      <c r="CA27" s="3" t="str">
        <f>IF(BY27=99,"", CONCATENATE("10.0.",TEXT(((BITWISE_AND('IP Address (no mod)'!$D$20,BZ$19)/4)+BY27*8),"0"),".",TEXT((BITWISE_AND('IP Address (no mod)'!$D$21,BZ$19)*64)+BV$23*10+BX27,"0")))</f>
        <v/>
      </c>
      <c r="CB27" s="100">
        <f t="shared" si="9"/>
        <v>0</v>
      </c>
      <c r="CC27" s="98"/>
      <c r="CD27" s="55"/>
      <c r="CE27" s="330"/>
      <c r="CF27" s="63" t="s">
        <v>248</v>
      </c>
      <c r="CG27" s="63">
        <v>3</v>
      </c>
      <c r="CH27" s="63">
        <v>99</v>
      </c>
      <c r="CI27" s="64"/>
      <c r="CJ27" s="3" t="str">
        <f>IF(CH27=99,"", CONCATENATE("10.0.",TEXT(((BITWISE_AND('IP Address (no mod)'!$D$20,CI$19)/4)+CH27*8),"0"),".",TEXT((BITWISE_AND('IP Address (no mod)'!$D$21,CI$19)*64)+CE$23*10+CG27,"0")))</f>
        <v/>
      </c>
      <c r="CK27" s="100">
        <f t="shared" si="10"/>
        <v>0</v>
      </c>
      <c r="CL27" s="98"/>
      <c r="CM27" s="55"/>
      <c r="CN27" s="330"/>
      <c r="CO27" s="63" t="s">
        <v>248</v>
      </c>
      <c r="CP27" s="63">
        <v>3</v>
      </c>
      <c r="CQ27" s="63">
        <v>99</v>
      </c>
      <c r="CR27" s="64"/>
      <c r="CS27" s="3" t="str">
        <f>IF(CQ27=99,"", CONCATENATE("10.0.",TEXT(((BITWISE_AND('IP Address (no mod)'!$D$20,CR$19)/4)+CQ27*8),"0"),".",TEXT((BITWISE_AND('IP Address (no mod)'!$D$21,CR$19)*64)+CN$23*10+CP27,"0")))</f>
        <v/>
      </c>
      <c r="CT27" s="100">
        <f t="shared" si="11"/>
        <v>0</v>
      </c>
      <c r="CU27" s="98"/>
      <c r="CV27" s="55"/>
      <c r="CW27" s="330"/>
      <c r="CX27" s="63" t="s">
        <v>248</v>
      </c>
      <c r="CY27" s="63">
        <v>3</v>
      </c>
      <c r="CZ27" s="63">
        <v>99</v>
      </c>
      <c r="DA27" s="64"/>
      <c r="DB27" s="3" t="str">
        <f>IF(CZ27=99,"", CONCATENATE("10.0.",TEXT(((BITWISE_AND('IP Address (no mod)'!$D$20,DA$19)/4)+CZ27*8),"0"),".",TEXT((BITWISE_AND('IP Address (no mod)'!$D$21,DA$19)*64)+CW$23*10+CY27,"0")))</f>
        <v/>
      </c>
      <c r="DC27" s="100">
        <f t="shared" si="12"/>
        <v>0</v>
      </c>
      <c r="DD27" s="98"/>
      <c r="DE27" s="55"/>
      <c r="DF27" s="330"/>
      <c r="DG27" s="63" t="s">
        <v>248</v>
      </c>
      <c r="DH27" s="63">
        <v>3</v>
      </c>
      <c r="DI27" s="63">
        <v>99</v>
      </c>
      <c r="DJ27" s="64"/>
      <c r="DK27" s="3" t="str">
        <f>IF(DI27=99,"", CONCATENATE("10.0.",TEXT(((BITWISE_AND('IP Address (no mod)'!$D$20,DJ$19)/4)+DI27*8),"0"),".",TEXT((BITWISE_AND('IP Address (no mod)'!$D$21,DJ$19)*64)+DF$23*10+DH27,"0")))</f>
        <v/>
      </c>
      <c r="DL27" s="100">
        <f t="shared" si="13"/>
        <v>0</v>
      </c>
      <c r="DM27" s="98"/>
      <c r="DN27" s="55"/>
      <c r="DO27" s="330"/>
      <c r="DP27" s="63" t="s">
        <v>248</v>
      </c>
      <c r="DQ27" s="63">
        <v>3</v>
      </c>
      <c r="DR27" s="63">
        <v>99</v>
      </c>
      <c r="DS27" s="64"/>
      <c r="DT27" s="3" t="str">
        <f>IF(DR27=99,"", CONCATENATE("10.0.",TEXT(((BITWISE_AND('IP Address (no mod)'!$D$20,DS$19)/4)+DR27*8),"0"),".",TEXT((BITWISE_AND('IP Address (no mod)'!$D$21,DS$19)*64)+DO$23*10+DQ27,"0")))</f>
        <v/>
      </c>
      <c r="DU27" s="100">
        <f t="shared" si="14"/>
        <v>0</v>
      </c>
      <c r="DV27" s="98"/>
      <c r="DW27" s="55"/>
      <c r="DX27" s="330"/>
      <c r="DY27" s="63" t="s">
        <v>248</v>
      </c>
      <c r="DZ27" s="63">
        <v>3</v>
      </c>
      <c r="EA27" s="63">
        <v>99</v>
      </c>
      <c r="EB27" s="64"/>
      <c r="EC27" s="3" t="str">
        <f>IF(EA27=99,"", CONCATENATE("10.0.",TEXT(((BITWISE_AND('IP Address (no mod)'!$D$20,EB$19)/4)+EA27*8),"0"),".",TEXT((BITWISE_AND('IP Address (no mod)'!$D$21,EB$19)*64)+DX$23*10+DZ27,"0")))</f>
        <v/>
      </c>
      <c r="ED27" s="100">
        <f t="shared" si="15"/>
        <v>0</v>
      </c>
      <c r="EE27" s="98"/>
      <c r="EF27" s="55"/>
      <c r="EG27" s="330"/>
      <c r="EH27" s="63" t="s">
        <v>248</v>
      </c>
      <c r="EI27" s="63">
        <v>3</v>
      </c>
      <c r="EJ27" s="63">
        <v>3</v>
      </c>
      <c r="EK27" s="64" t="s">
        <v>249</v>
      </c>
      <c r="EL27" s="3" t="str">
        <f>CONCATENATE("10.0.",TEXT(((BITWISE_AND('IP Address (no mod)'!$D$20,EK$19)/4)+EJ27*8),"0"),".",TEXT((BITWISE_AND('IP Address (no mod)'!$D$21,EK$19)*64)+EG$23*10+EI27,"0"))</f>
        <v>10.0.27.195</v>
      </c>
      <c r="EM27" s="100">
        <f t="shared" si="0"/>
        <v>0</v>
      </c>
      <c r="EN27" s="95"/>
    </row>
    <row r="28" spans="1:144">
      <c r="A28" s="319"/>
      <c r="B28" s="93"/>
      <c r="C28" s="55"/>
      <c r="D28" s="330"/>
      <c r="E28" s="15" t="s">
        <v>251</v>
      </c>
      <c r="F28" s="63">
        <v>4</v>
      </c>
      <c r="G28" s="63">
        <v>3</v>
      </c>
      <c r="H28" s="64" t="s">
        <v>500</v>
      </c>
      <c r="I28" s="3" t="str">
        <f>IF(G28=99,"", CONCATENATE("10.0.",TEXT(((BITWISE_AND('IP Address (no mod)'!$D$20,H$19)/4)+G28*8),"0"),".",TEXT((BITWISE_AND('IP Address (no mod)'!$D$21,H$19)*64)+D$23*10+F28,"0")))</f>
        <v>10.0.24.68</v>
      </c>
      <c r="J28" s="100">
        <f t="shared" si="1"/>
        <v>0</v>
      </c>
      <c r="K28" s="98"/>
      <c r="L28" s="55"/>
      <c r="M28" s="330"/>
      <c r="N28" s="63" t="s">
        <v>251</v>
      </c>
      <c r="O28" s="63">
        <v>4</v>
      </c>
      <c r="P28" s="63">
        <v>3</v>
      </c>
      <c r="Q28" s="64" t="s">
        <v>252</v>
      </c>
      <c r="R28" s="3" t="str">
        <f>IF(P28=99,"", CONCATENATE("10.0.",TEXT(((BITWISE_AND('IP Address (no mod)'!$D$20,Q$19)/4)+P28*8),"0"),".",TEXT((BITWISE_AND('IP Address (no mod)'!$D$21,Q$19)*64)+M$23*10+O28,"0")))</f>
        <v>10.0.24.132</v>
      </c>
      <c r="S28" s="100">
        <f t="shared" si="2"/>
        <v>0</v>
      </c>
      <c r="T28" s="98"/>
      <c r="U28" s="55"/>
      <c r="V28" s="330"/>
      <c r="W28" s="63" t="s">
        <v>251</v>
      </c>
      <c r="X28" s="63">
        <v>4</v>
      </c>
      <c r="Y28" s="63">
        <v>3</v>
      </c>
      <c r="Z28" s="64" t="s">
        <v>252</v>
      </c>
      <c r="AA28" s="3" t="str">
        <f>IF(Y28=99,"", CONCATENATE("10.0.",TEXT(((BITWISE_AND('IP Address (no mod)'!$D$20,Z$19)/4)+Y28*8),"0"),".",TEXT((BITWISE_AND('IP Address (no mod)'!$D$21,Z$19)*64)+V$23*10+X28,"0")))</f>
        <v>10.0.24.196</v>
      </c>
      <c r="AB28" s="100">
        <f t="shared" si="3"/>
        <v>0</v>
      </c>
      <c r="AC28" s="98"/>
      <c r="AD28" s="55"/>
      <c r="AE28" s="330"/>
      <c r="AF28" s="63" t="s">
        <v>251</v>
      </c>
      <c r="AG28" s="63">
        <v>4</v>
      </c>
      <c r="AH28" s="63">
        <v>3</v>
      </c>
      <c r="AI28" s="64" t="s">
        <v>252</v>
      </c>
      <c r="AJ28" s="3" t="str">
        <f>IF(AH28=99,"", CONCATENATE("10.0.",TEXT(((BITWISE_AND('IP Address (no mod)'!$D$20,AI$19)/4)+AH28*8),"0"),".",TEXT((BITWISE_AND('IP Address (no mod)'!$D$21,AI$19)*64)+AE$23*10+AG28,"0")))</f>
        <v>10.0.29.132</v>
      </c>
      <c r="AK28" s="100">
        <f t="shared" si="4"/>
        <v>0</v>
      </c>
      <c r="AL28" s="330"/>
      <c r="AM28" s="63" t="s">
        <v>251</v>
      </c>
      <c r="AN28" s="1">
        <v>4</v>
      </c>
      <c r="AO28" s="63">
        <v>3</v>
      </c>
      <c r="AP28" s="64" t="s">
        <v>256</v>
      </c>
      <c r="AQ28" s="3" t="str">
        <f>IF(AO28=99,"", CONCATENATE("10.0.",TEXT(((BITWISE_AND('IP Address (no mod)'!$D$20,AI$19)/4)+AO28*8),"0"),".",TEXT((BITWISE_AND('IP Address (no mod)'!$D$21,AI$19)*64)+AL$23*10+AN28,"0")))</f>
        <v>10.0.29.172</v>
      </c>
      <c r="AR28" s="100">
        <f t="shared" si="5"/>
        <v>0</v>
      </c>
      <c r="AS28" s="98"/>
      <c r="AT28" s="55"/>
      <c r="AU28" s="330"/>
      <c r="AV28" s="63" t="s">
        <v>251</v>
      </c>
      <c r="AW28" s="63">
        <v>4</v>
      </c>
      <c r="AX28" s="63">
        <v>3</v>
      </c>
      <c r="AY28" s="64" t="s">
        <v>252</v>
      </c>
      <c r="AZ28" s="3" t="str">
        <f>IF(AX28=99,"", CONCATENATE("10.0.",TEXT(((BITWISE_AND('IP Address (no mod)'!$D$20,AY$19)/4)+AX28*8),"0"),".",TEXT((BITWISE_AND('IP Address (no mod)'!$D$21,AY$19)*64)+AU$23*10+AW28,"0")))</f>
        <v>10.0.25.68</v>
      </c>
      <c r="BA28" s="100">
        <f t="shared" si="6"/>
        <v>0</v>
      </c>
      <c r="BB28" s="98"/>
      <c r="BC28" s="55"/>
      <c r="BD28" s="330"/>
      <c r="BE28" s="63" t="s">
        <v>251</v>
      </c>
      <c r="BF28" s="63">
        <v>4</v>
      </c>
      <c r="BG28" s="63">
        <v>3</v>
      </c>
      <c r="BH28" s="64" t="s">
        <v>252</v>
      </c>
      <c r="BI28" s="3" t="str">
        <f>IF(BG28=99,"", CONCATENATE("10.0.",TEXT(((BITWISE_AND('IP Address (no mod)'!$D$20,BH$19)/4)+BG28*8),"0"),".",TEXT((BITWISE_AND('IP Address (no mod)'!$D$21,BH$19)*64)+BD$23*10+BF28,"0")))</f>
        <v>10.0.25.132</v>
      </c>
      <c r="BJ28" s="100">
        <f t="shared" si="7"/>
        <v>0</v>
      </c>
      <c r="BK28" s="98"/>
      <c r="BL28" s="55"/>
      <c r="BM28" s="330"/>
      <c r="BN28" s="63" t="s">
        <v>251</v>
      </c>
      <c r="BO28" s="63">
        <v>4</v>
      </c>
      <c r="BP28" s="63">
        <v>3</v>
      </c>
      <c r="BQ28" s="64" t="s">
        <v>252</v>
      </c>
      <c r="BR28" s="3" t="str">
        <f>IF(BP28=99,"", CONCATENATE("10.0.",TEXT(((BITWISE_AND('IP Address (no mod)'!$D$20,BQ$19)/4)+BP28*8),"0"),".",TEXT((BITWISE_AND('IP Address (no mod)'!$D$21,BQ$19)*64)+BM$23*10+BO28,"0")))</f>
        <v>10.0.25.196</v>
      </c>
      <c r="BS28" s="100">
        <f t="shared" si="8"/>
        <v>0</v>
      </c>
      <c r="BT28" s="98"/>
      <c r="BU28" s="55"/>
      <c r="BV28" s="330"/>
      <c r="BW28" s="63" t="s">
        <v>251</v>
      </c>
      <c r="BX28" s="63">
        <v>4</v>
      </c>
      <c r="BY28" s="63">
        <v>3</v>
      </c>
      <c r="BZ28" s="64" t="s">
        <v>252</v>
      </c>
      <c r="CA28" s="3" t="str">
        <f>IF(BY28=99,"", CONCATENATE("10.0.",TEXT(((BITWISE_AND('IP Address (no mod)'!$D$20,BZ$19)/4)+BY28*8),"0"),".",TEXT((BITWISE_AND('IP Address (no mod)'!$D$21,BZ$19)*64)+BV$23*10+BX28,"0")))</f>
        <v>10.0.26.4</v>
      </c>
      <c r="CB28" s="100">
        <f t="shared" si="9"/>
        <v>0</v>
      </c>
      <c r="CC28" s="98"/>
      <c r="CD28" s="55"/>
      <c r="CE28" s="330"/>
      <c r="CF28" s="63" t="s">
        <v>251</v>
      </c>
      <c r="CG28" s="63">
        <v>4</v>
      </c>
      <c r="CH28" s="63">
        <v>3</v>
      </c>
      <c r="CI28" s="64" t="s">
        <v>252</v>
      </c>
      <c r="CJ28" s="3" t="str">
        <f>IF(CH28=99,"", CONCATENATE("10.0.",TEXT(((BITWISE_AND('IP Address (no mod)'!$D$20,CI$19)/4)+CH28*8),"0"),".",TEXT((BITWISE_AND('IP Address (no mod)'!$D$21,CI$19)*64)+CE$23*10+CG28,"0")))</f>
        <v>10.0.26.68</v>
      </c>
      <c r="CK28" s="100">
        <f t="shared" si="10"/>
        <v>0</v>
      </c>
      <c r="CL28" s="98"/>
      <c r="CM28" s="55"/>
      <c r="CN28" s="330"/>
      <c r="CO28" s="63" t="s">
        <v>251</v>
      </c>
      <c r="CP28" s="63">
        <v>4</v>
      </c>
      <c r="CQ28" s="63">
        <v>3</v>
      </c>
      <c r="CR28" s="64" t="s">
        <v>252</v>
      </c>
      <c r="CS28" s="3" t="str">
        <f>IF(CQ28=99,"", CONCATENATE("10.0.",TEXT(((BITWISE_AND('IP Address (no mod)'!$D$20,CR$19)/4)+CQ28*8),"0"),".",TEXT((BITWISE_AND('IP Address (no mod)'!$D$21,CR$19)*64)+CN$23*10+CP28,"0")))</f>
        <v>10.0.26.132</v>
      </c>
      <c r="CT28" s="100">
        <f t="shared" si="11"/>
        <v>0</v>
      </c>
      <c r="CU28" s="98"/>
      <c r="CV28" s="55"/>
      <c r="CW28" s="330"/>
      <c r="CX28" s="63" t="s">
        <v>251</v>
      </c>
      <c r="CY28" s="63">
        <v>4</v>
      </c>
      <c r="CZ28" s="63">
        <v>3</v>
      </c>
      <c r="DA28" s="64" t="s">
        <v>252</v>
      </c>
      <c r="DB28" s="3" t="str">
        <f>IF(CZ28=99,"", CONCATENATE("10.0.",TEXT(((BITWISE_AND('IP Address (no mod)'!$D$20,DA$19)/4)+CZ28*8),"0"),".",TEXT((BITWISE_AND('IP Address (no mod)'!$D$21,DA$19)*64)+CW$23*10+CY28,"0")))</f>
        <v>10.0.26.196</v>
      </c>
      <c r="DC28" s="100">
        <f t="shared" si="12"/>
        <v>0</v>
      </c>
      <c r="DD28" s="98"/>
      <c r="DE28" s="55"/>
      <c r="DF28" s="330"/>
      <c r="DG28" s="63" t="s">
        <v>251</v>
      </c>
      <c r="DH28" s="63">
        <v>4</v>
      </c>
      <c r="DI28" s="63">
        <v>3</v>
      </c>
      <c r="DJ28" s="64" t="s">
        <v>252</v>
      </c>
      <c r="DK28" s="3" t="str">
        <f>IF(DI28=99,"", CONCATENATE("10.0.",TEXT(((BITWISE_AND('IP Address (no mod)'!$D$20,DJ$19)/4)+DI28*8),"0"),".",TEXT((BITWISE_AND('IP Address (no mod)'!$D$21,DJ$19)*64)+DF$23*10+DH28,"0")))</f>
        <v>10.0.27.4</v>
      </c>
      <c r="DL28" s="100">
        <f t="shared" si="13"/>
        <v>0</v>
      </c>
      <c r="DM28" s="98"/>
      <c r="DN28" s="55"/>
      <c r="DO28" s="330"/>
      <c r="DP28" s="63" t="s">
        <v>251</v>
      </c>
      <c r="DQ28" s="63">
        <v>4</v>
      </c>
      <c r="DR28" s="63">
        <v>3</v>
      </c>
      <c r="DS28" s="64" t="s">
        <v>252</v>
      </c>
      <c r="DT28" s="3" t="str">
        <f>IF(DR28=99,"", CONCATENATE("10.0.",TEXT(((BITWISE_AND('IP Address (no mod)'!$D$20,DS$19)/4)+DR28*8),"0"),".",TEXT((BITWISE_AND('IP Address (no mod)'!$D$21,DS$19)*64)+DO$23*10+DQ28,"0")))</f>
        <v>10.0.27.68</v>
      </c>
      <c r="DU28" s="100">
        <f t="shared" si="14"/>
        <v>0</v>
      </c>
      <c r="DV28" s="98"/>
      <c r="DW28" s="55"/>
      <c r="DX28" s="330"/>
      <c r="DY28" s="63" t="s">
        <v>251</v>
      </c>
      <c r="DZ28" s="63">
        <v>4</v>
      </c>
      <c r="EA28" s="63">
        <v>3</v>
      </c>
      <c r="EB28" s="64" t="s">
        <v>252</v>
      </c>
      <c r="EC28" s="3" t="str">
        <f>IF(EA28=99,"", CONCATENATE("10.0.",TEXT(((BITWISE_AND('IP Address (no mod)'!$D$20,EB$19)/4)+EA28*8),"0"),".",TEXT((BITWISE_AND('IP Address (no mod)'!$D$21,EB$19)*64)+DX$23*10+DZ28,"0")))</f>
        <v>10.0.27.132</v>
      </c>
      <c r="ED28" s="100">
        <f t="shared" si="15"/>
        <v>0</v>
      </c>
      <c r="EE28" s="98"/>
      <c r="EF28" s="55"/>
      <c r="EG28" s="330"/>
      <c r="EH28" s="63" t="s">
        <v>251</v>
      </c>
      <c r="EI28" s="63">
        <v>4</v>
      </c>
      <c r="EJ28" s="63">
        <v>3</v>
      </c>
      <c r="EK28" s="64" t="s">
        <v>252</v>
      </c>
      <c r="EL28" s="3" t="str">
        <f>CONCATENATE("10.0.",TEXT(((BITWISE_AND('IP Address (no mod)'!$D$20,EK$19)/4)+EJ28*8),"0"),".",TEXT((BITWISE_AND('IP Address (no mod)'!$D$21,EK$19)*64)+EG$23*10+EI28,"0"))</f>
        <v>10.0.27.196</v>
      </c>
      <c r="EM28" s="100">
        <f t="shared" si="0"/>
        <v>0</v>
      </c>
      <c r="EN28" s="95"/>
    </row>
    <row r="29" spans="1:144">
      <c r="A29" s="319"/>
      <c r="B29" s="93"/>
      <c r="C29" s="55"/>
      <c r="D29" s="330"/>
      <c r="E29" s="15" t="s">
        <v>254</v>
      </c>
      <c r="F29" s="63">
        <v>5</v>
      </c>
      <c r="G29" s="63">
        <v>3</v>
      </c>
      <c r="H29" s="64" t="s">
        <v>255</v>
      </c>
      <c r="I29" s="3" t="str">
        <f>IF(G29=99,"", CONCATENATE("10.0.",TEXT(((BITWISE_AND('IP Address (no mod)'!$D$20,H$19)/4)+G29*8),"0"),".",TEXT((BITWISE_AND('IP Address (no mod)'!$D$21,H$19)*64)+D$23*10+F29,"0")))</f>
        <v>10.0.24.69</v>
      </c>
      <c r="J29" s="100">
        <f t="shared" si="1"/>
        <v>0</v>
      </c>
      <c r="K29" s="98"/>
      <c r="L29" s="55"/>
      <c r="M29" s="330"/>
      <c r="N29" s="63" t="s">
        <v>254</v>
      </c>
      <c r="O29" s="63">
        <v>5</v>
      </c>
      <c r="P29" s="63">
        <v>3</v>
      </c>
      <c r="Q29" s="64" t="s">
        <v>255</v>
      </c>
      <c r="R29" s="3" t="str">
        <f>IF(P29=99,"", CONCATENATE("10.0.",TEXT(((BITWISE_AND('IP Address (no mod)'!$D$20,Q$19)/4)+P29*8),"0"),".",TEXT((BITWISE_AND('IP Address (no mod)'!$D$21,Q$19)*64)+M$23*10+O29,"0")))</f>
        <v>10.0.24.133</v>
      </c>
      <c r="S29" s="100">
        <f t="shared" si="2"/>
        <v>0</v>
      </c>
      <c r="T29" s="98"/>
      <c r="U29" s="55"/>
      <c r="V29" s="330"/>
      <c r="W29" s="63" t="s">
        <v>254</v>
      </c>
      <c r="X29" s="63">
        <v>5</v>
      </c>
      <c r="Y29" s="63">
        <v>3</v>
      </c>
      <c r="Z29" s="64" t="s">
        <v>255</v>
      </c>
      <c r="AA29" s="3" t="str">
        <f>IF(Y29=99,"", CONCATENATE("10.0.",TEXT(((BITWISE_AND('IP Address (no mod)'!$D$20,Z$19)/4)+Y29*8),"0"),".",TEXT((BITWISE_AND('IP Address (no mod)'!$D$21,Z$19)*64)+V$23*10+X29,"0")))</f>
        <v>10.0.24.197</v>
      </c>
      <c r="AB29" s="100">
        <f t="shared" si="3"/>
        <v>0</v>
      </c>
      <c r="AC29" s="98"/>
      <c r="AD29" s="55"/>
      <c r="AE29" s="330"/>
      <c r="AF29" s="63" t="s">
        <v>254</v>
      </c>
      <c r="AG29" s="63">
        <v>5</v>
      </c>
      <c r="AH29" s="63">
        <v>3</v>
      </c>
      <c r="AI29" s="64" t="s">
        <v>255</v>
      </c>
      <c r="AJ29" s="3" t="str">
        <f>IF(AH29=99,"", CONCATENATE("10.0.",TEXT(((BITWISE_AND('IP Address (no mod)'!$D$20,AI$19)/4)+AH29*8),"0"),".",TEXT((BITWISE_AND('IP Address (no mod)'!$D$21,AI$19)*64)+AE$23*10+AG29,"0")))</f>
        <v>10.0.29.133</v>
      </c>
      <c r="AK29" s="100">
        <f t="shared" si="4"/>
        <v>0</v>
      </c>
      <c r="AL29" s="330"/>
      <c r="AM29" s="63" t="s">
        <v>254</v>
      </c>
      <c r="AN29" s="1">
        <v>5</v>
      </c>
      <c r="AO29" s="63">
        <v>3</v>
      </c>
      <c r="AP29" s="64" t="s">
        <v>253</v>
      </c>
      <c r="AQ29" s="3" t="str">
        <f>IF(AO29=99,"", CONCATENATE("10.0.",TEXT(((BITWISE_AND('IP Address (no mod)'!$D$20,AI$19)/4)+AO29*8),"0"),".",TEXT((BITWISE_AND('IP Address (no mod)'!$D$21,AI$19)*64)+AL$23*10+AN29,"0")))</f>
        <v>10.0.29.173</v>
      </c>
      <c r="AR29" s="100">
        <f t="shared" si="5"/>
        <v>0</v>
      </c>
      <c r="AS29" s="98"/>
      <c r="AT29" s="55"/>
      <c r="AU29" s="330"/>
      <c r="AV29" s="63" t="s">
        <v>254</v>
      </c>
      <c r="AW29" s="63">
        <v>5</v>
      </c>
      <c r="AX29" s="63">
        <v>3</v>
      </c>
      <c r="AY29" s="64" t="s">
        <v>255</v>
      </c>
      <c r="AZ29" s="3" t="str">
        <f>IF(AX29=99,"", CONCATENATE("10.0.",TEXT(((BITWISE_AND('IP Address (no mod)'!$D$20,AY$19)/4)+AX29*8),"0"),".",TEXT((BITWISE_AND('IP Address (no mod)'!$D$21,AY$19)*64)+AU$23*10+AW29,"0")))</f>
        <v>10.0.25.69</v>
      </c>
      <c r="BA29" s="100">
        <f t="shared" si="6"/>
        <v>0</v>
      </c>
      <c r="BB29" s="98"/>
      <c r="BC29" s="55"/>
      <c r="BD29" s="330"/>
      <c r="BE29" s="63" t="s">
        <v>254</v>
      </c>
      <c r="BF29" s="63">
        <v>5</v>
      </c>
      <c r="BG29" s="63">
        <v>3</v>
      </c>
      <c r="BH29" s="64" t="s">
        <v>255</v>
      </c>
      <c r="BI29" s="3" t="str">
        <f>IF(BG29=99,"", CONCATENATE("10.0.",TEXT(((BITWISE_AND('IP Address (no mod)'!$D$20,BH$19)/4)+BG29*8),"0"),".",TEXT((BITWISE_AND('IP Address (no mod)'!$D$21,BH$19)*64)+BD$23*10+BF29,"0")))</f>
        <v>10.0.25.133</v>
      </c>
      <c r="BJ29" s="100">
        <f t="shared" si="7"/>
        <v>0</v>
      </c>
      <c r="BK29" s="98"/>
      <c r="BL29" s="55"/>
      <c r="BM29" s="330"/>
      <c r="BN29" s="63" t="s">
        <v>254</v>
      </c>
      <c r="BO29" s="63">
        <v>5</v>
      </c>
      <c r="BP29" s="63">
        <v>3</v>
      </c>
      <c r="BQ29" s="64" t="s">
        <v>255</v>
      </c>
      <c r="BR29" s="3" t="str">
        <f>IF(BP29=99,"", CONCATENATE("10.0.",TEXT(((BITWISE_AND('IP Address (no mod)'!$D$20,BQ$19)/4)+BP29*8),"0"),".",TEXT((BITWISE_AND('IP Address (no mod)'!$D$21,BQ$19)*64)+BM$23*10+BO29,"0")))</f>
        <v>10.0.25.197</v>
      </c>
      <c r="BS29" s="100">
        <f t="shared" si="8"/>
        <v>0</v>
      </c>
      <c r="BT29" s="98"/>
      <c r="BU29" s="55"/>
      <c r="BV29" s="330"/>
      <c r="BW29" s="63" t="s">
        <v>254</v>
      </c>
      <c r="BX29" s="63">
        <v>5</v>
      </c>
      <c r="BY29" s="63">
        <v>3</v>
      </c>
      <c r="BZ29" s="64" t="s">
        <v>255</v>
      </c>
      <c r="CA29" s="3" t="str">
        <f>IF(BY29=99,"", CONCATENATE("10.0.",TEXT(((BITWISE_AND('IP Address (no mod)'!$D$20,BZ$19)/4)+BY29*8),"0"),".",TEXT((BITWISE_AND('IP Address (no mod)'!$D$21,BZ$19)*64)+BV$23*10+BX29,"0")))</f>
        <v>10.0.26.5</v>
      </c>
      <c r="CB29" s="100">
        <f t="shared" si="9"/>
        <v>0</v>
      </c>
      <c r="CC29" s="98"/>
      <c r="CD29" s="55"/>
      <c r="CE29" s="330"/>
      <c r="CF29" s="63" t="s">
        <v>254</v>
      </c>
      <c r="CG29" s="63">
        <v>5</v>
      </c>
      <c r="CH29" s="63">
        <v>3</v>
      </c>
      <c r="CI29" s="64" t="s">
        <v>255</v>
      </c>
      <c r="CJ29" s="3" t="str">
        <f>IF(CH29=99,"", CONCATENATE("10.0.",TEXT(((BITWISE_AND('IP Address (no mod)'!$D$20,CI$19)/4)+CH29*8),"0"),".",TEXT((BITWISE_AND('IP Address (no mod)'!$D$21,CI$19)*64)+CE$23*10+CG29,"0")))</f>
        <v>10.0.26.69</v>
      </c>
      <c r="CK29" s="100">
        <f t="shared" si="10"/>
        <v>0</v>
      </c>
      <c r="CL29" s="98"/>
      <c r="CM29" s="55"/>
      <c r="CN29" s="330"/>
      <c r="CO29" s="63" t="s">
        <v>254</v>
      </c>
      <c r="CP29" s="63">
        <v>5</v>
      </c>
      <c r="CQ29" s="63">
        <v>3</v>
      </c>
      <c r="CR29" s="64" t="s">
        <v>255</v>
      </c>
      <c r="CS29" s="3" t="str">
        <f>IF(CQ29=99,"", CONCATENATE("10.0.",TEXT(((BITWISE_AND('IP Address (no mod)'!$D$20,CR$19)/4)+CQ29*8),"0"),".",TEXT((BITWISE_AND('IP Address (no mod)'!$D$21,CR$19)*64)+CN$23*10+CP29,"0")))</f>
        <v>10.0.26.133</v>
      </c>
      <c r="CT29" s="100">
        <f t="shared" si="11"/>
        <v>0</v>
      </c>
      <c r="CU29" s="98"/>
      <c r="CV29" s="55"/>
      <c r="CW29" s="330"/>
      <c r="CX29" s="63" t="s">
        <v>254</v>
      </c>
      <c r="CY29" s="63">
        <v>5</v>
      </c>
      <c r="CZ29" s="63">
        <v>3</v>
      </c>
      <c r="DA29" s="64" t="s">
        <v>255</v>
      </c>
      <c r="DB29" s="3" t="str">
        <f>IF(CZ29=99,"", CONCATENATE("10.0.",TEXT(((BITWISE_AND('IP Address (no mod)'!$D$20,DA$19)/4)+CZ29*8),"0"),".",TEXT((BITWISE_AND('IP Address (no mod)'!$D$21,DA$19)*64)+CW$23*10+CY29,"0")))</f>
        <v>10.0.26.197</v>
      </c>
      <c r="DC29" s="100">
        <f t="shared" si="12"/>
        <v>0</v>
      </c>
      <c r="DD29" s="98"/>
      <c r="DE29" s="55"/>
      <c r="DF29" s="330"/>
      <c r="DG29" s="63" t="s">
        <v>254</v>
      </c>
      <c r="DH29" s="63">
        <v>5</v>
      </c>
      <c r="DI29" s="63">
        <v>3</v>
      </c>
      <c r="DJ29" s="64" t="s">
        <v>255</v>
      </c>
      <c r="DK29" s="3" t="str">
        <f>IF(DI29=99,"", CONCATENATE("10.0.",TEXT(((BITWISE_AND('IP Address (no mod)'!$D$20,DJ$19)/4)+DI29*8),"0"),".",TEXT((BITWISE_AND('IP Address (no mod)'!$D$21,DJ$19)*64)+DF$23*10+DH29,"0")))</f>
        <v>10.0.27.5</v>
      </c>
      <c r="DL29" s="100">
        <f t="shared" si="13"/>
        <v>0</v>
      </c>
      <c r="DM29" s="98"/>
      <c r="DN29" s="55"/>
      <c r="DO29" s="330"/>
      <c r="DP29" s="63" t="s">
        <v>254</v>
      </c>
      <c r="DQ29" s="63">
        <v>5</v>
      </c>
      <c r="DR29" s="63">
        <v>3</v>
      </c>
      <c r="DS29" s="64" t="s">
        <v>255</v>
      </c>
      <c r="DT29" s="3" t="str">
        <f>IF(DR29=99,"", CONCATENATE("10.0.",TEXT(((BITWISE_AND('IP Address (no mod)'!$D$20,DS$19)/4)+DR29*8),"0"),".",TEXT((BITWISE_AND('IP Address (no mod)'!$D$21,DS$19)*64)+DO$23*10+DQ29,"0")))</f>
        <v>10.0.27.69</v>
      </c>
      <c r="DU29" s="100">
        <f t="shared" si="14"/>
        <v>0</v>
      </c>
      <c r="DV29" s="98"/>
      <c r="DW29" s="55"/>
      <c r="DX29" s="330"/>
      <c r="DY29" s="63" t="s">
        <v>254</v>
      </c>
      <c r="DZ29" s="63">
        <v>5</v>
      </c>
      <c r="EA29" s="63">
        <v>3</v>
      </c>
      <c r="EB29" s="64" t="s">
        <v>255</v>
      </c>
      <c r="EC29" s="3" t="str">
        <f>IF(EA29=99,"", CONCATENATE("10.0.",TEXT(((BITWISE_AND('IP Address (no mod)'!$D$20,EB$19)/4)+EA29*8),"0"),".",TEXT((BITWISE_AND('IP Address (no mod)'!$D$21,EB$19)*64)+DX$23*10+DZ29,"0")))</f>
        <v>10.0.27.133</v>
      </c>
      <c r="ED29" s="100">
        <f t="shared" si="15"/>
        <v>0</v>
      </c>
      <c r="EE29" s="98"/>
      <c r="EF29" s="55"/>
      <c r="EG29" s="330"/>
      <c r="EH29" s="63" t="s">
        <v>254</v>
      </c>
      <c r="EI29" s="63">
        <v>5</v>
      </c>
      <c r="EJ29" s="63">
        <v>3</v>
      </c>
      <c r="EK29" s="64" t="s">
        <v>255</v>
      </c>
      <c r="EL29" s="3" t="str">
        <f>CONCATENATE("10.0.",TEXT(((BITWISE_AND('IP Address (no mod)'!$D$20,EK$19)/4)+EJ29*8),"0"),".",TEXT((BITWISE_AND('IP Address (no mod)'!$D$21,EK$19)*64)+EG$23*10+EI29,"0"))</f>
        <v>10.0.27.197</v>
      </c>
      <c r="EM29" s="100">
        <f t="shared" si="0"/>
        <v>0</v>
      </c>
      <c r="EN29" s="95"/>
    </row>
    <row r="30" spans="1:144">
      <c r="A30" s="319"/>
      <c r="B30" s="93"/>
      <c r="C30" s="55"/>
      <c r="D30" s="330"/>
      <c r="E30" s="15" t="s">
        <v>257</v>
      </c>
      <c r="F30" s="63">
        <v>6</v>
      </c>
      <c r="G30" s="63">
        <v>3</v>
      </c>
      <c r="H30" s="64" t="s">
        <v>101</v>
      </c>
      <c r="I30" s="3" t="str">
        <f>IF(G30=99,"", CONCATENATE("10.0.",TEXT(((BITWISE_AND('IP Address (no mod)'!$D$20,H$19)/4)+G30*8),"0"),".",TEXT((BITWISE_AND('IP Address (no mod)'!$D$21,H$19)*64)+D$23*10+F30,"0")))</f>
        <v>10.0.24.70</v>
      </c>
      <c r="J30" s="100">
        <f t="shared" si="1"/>
        <v>0</v>
      </c>
      <c r="K30" s="98"/>
      <c r="L30" s="55"/>
      <c r="M30" s="330"/>
      <c r="N30" s="63" t="s">
        <v>257</v>
      </c>
      <c r="O30" s="63">
        <v>6</v>
      </c>
      <c r="P30" s="63">
        <v>99</v>
      </c>
      <c r="Q30" s="1"/>
      <c r="R30" s="3" t="str">
        <f>IF(P30=99,"", CONCATENATE("10.0.",TEXT(((BITWISE_AND('IP Address (no mod)'!$D$20,Q$19)/4)+P30*8),"0"),".",TEXT((BITWISE_AND('IP Address (no mod)'!$D$21,Q$19)*64)+M$23*10+O30,"0")))</f>
        <v/>
      </c>
      <c r="S30" s="100">
        <f t="shared" si="2"/>
        <v>0</v>
      </c>
      <c r="T30" s="98"/>
      <c r="U30" s="55"/>
      <c r="V30" s="330"/>
      <c r="W30" s="63" t="s">
        <v>257</v>
      </c>
      <c r="X30" s="63">
        <v>6</v>
      </c>
      <c r="Y30" s="63">
        <v>99</v>
      </c>
      <c r="Z30" s="1"/>
      <c r="AA30" s="3" t="str">
        <f>IF(Y30=99,"", CONCATENATE("10.0.",TEXT(((BITWISE_AND('IP Address (no mod)'!$D$20,Z$19)/4)+Y30*8),"0"),".",TEXT((BITWISE_AND('IP Address (no mod)'!$D$21,Z$19)*64)+V$23*10+X30,"0")))</f>
        <v/>
      </c>
      <c r="AB30" s="100">
        <f t="shared" si="3"/>
        <v>0</v>
      </c>
      <c r="AC30" s="98"/>
      <c r="AD30" s="55"/>
      <c r="AE30" s="330"/>
      <c r="AF30" s="63" t="s">
        <v>257</v>
      </c>
      <c r="AG30" s="63">
        <v>6</v>
      </c>
      <c r="AH30" s="63">
        <v>99</v>
      </c>
      <c r="AI30" s="157" t="s">
        <v>489</v>
      </c>
      <c r="AJ30" s="3" t="str">
        <f>IF(AH30=99,"", CONCATENATE("10.0.",TEXT(((BITWISE_AND('IP Address (no mod)'!$D$20,AI$19)/4)+AH30*8),"0"),".",TEXT((BITWISE_AND('IP Address (no mod)'!$D$21,AI$19)*64)+AE$23*10+AG30,"0")))</f>
        <v/>
      </c>
      <c r="AK30" s="100">
        <f t="shared" si="4"/>
        <v>0</v>
      </c>
      <c r="AL30" s="330"/>
      <c r="AM30" s="63" t="s">
        <v>257</v>
      </c>
      <c r="AN30" s="1">
        <v>6</v>
      </c>
      <c r="AO30" s="63">
        <v>3</v>
      </c>
      <c r="AP30" s="64" t="s">
        <v>250</v>
      </c>
      <c r="AQ30" s="3" t="str">
        <f>IF(AO30=99,"", CONCATENATE("10.0.",TEXT(((BITWISE_AND('IP Address (no mod)'!$D$20,AI$19)/4)+AO30*8),"0"),".",TEXT((BITWISE_AND('IP Address (no mod)'!$D$21,AI$19)*64)+AL$23*10+AN30,"0")))</f>
        <v>10.0.29.174</v>
      </c>
      <c r="AR30" s="100">
        <f t="shared" si="5"/>
        <v>0</v>
      </c>
      <c r="AS30" s="98"/>
      <c r="AT30" s="55"/>
      <c r="AU30" s="330"/>
      <c r="AV30" s="63" t="s">
        <v>257</v>
      </c>
      <c r="AW30" s="63">
        <v>6</v>
      </c>
      <c r="AX30" s="63">
        <v>99</v>
      </c>
      <c r="AY30" s="1"/>
      <c r="AZ30" s="3" t="str">
        <f>IF(AX30=99,"", CONCATENATE("10.0.",TEXT(((BITWISE_AND('IP Address (no mod)'!$D$20,AY$19)/4)+AX30*8),"0"),".",TEXT((BITWISE_AND('IP Address (no mod)'!$D$21,AY$19)*64)+AU$23*10+AW30,"0")))</f>
        <v/>
      </c>
      <c r="BA30" s="100">
        <f t="shared" si="6"/>
        <v>0</v>
      </c>
      <c r="BB30" s="98"/>
      <c r="BC30" s="55"/>
      <c r="BD30" s="330"/>
      <c r="BE30" s="63" t="s">
        <v>257</v>
      </c>
      <c r="BF30" s="63">
        <v>6</v>
      </c>
      <c r="BG30" s="63">
        <v>99</v>
      </c>
      <c r="BH30" s="1"/>
      <c r="BI30" s="3" t="str">
        <f>IF(BG30=99,"", CONCATENATE("10.0.",TEXT(((BITWISE_AND('IP Address (no mod)'!$D$20,BH$19)/4)+BG30*8),"0"),".",TEXT((BITWISE_AND('IP Address (no mod)'!$D$21,BH$19)*64)+BD$23*10+BF30,"0")))</f>
        <v/>
      </c>
      <c r="BJ30" s="100">
        <f t="shared" si="7"/>
        <v>0</v>
      </c>
      <c r="BK30" s="98"/>
      <c r="BL30" s="55"/>
      <c r="BM30" s="330"/>
      <c r="BN30" s="63" t="s">
        <v>257</v>
      </c>
      <c r="BO30" s="63">
        <v>6</v>
      </c>
      <c r="BP30" s="63">
        <v>99</v>
      </c>
      <c r="BQ30" s="1"/>
      <c r="BR30" s="3" t="str">
        <f>IF(BP30=99,"", CONCATENATE("10.0.",TEXT(((BITWISE_AND('IP Address (no mod)'!$D$20,BQ$19)/4)+BP30*8),"0"),".",TEXT((BITWISE_AND('IP Address (no mod)'!$D$21,BQ$19)*64)+BM$23*10+BO30,"0")))</f>
        <v/>
      </c>
      <c r="BS30" s="100">
        <f t="shared" si="8"/>
        <v>0</v>
      </c>
      <c r="BT30" s="98"/>
      <c r="BU30" s="55"/>
      <c r="BV30" s="330"/>
      <c r="BW30" s="63" t="s">
        <v>257</v>
      </c>
      <c r="BX30" s="63">
        <v>6</v>
      </c>
      <c r="BY30" s="63">
        <v>99</v>
      </c>
      <c r="BZ30" s="1"/>
      <c r="CA30" s="3" t="str">
        <f>IF(BY30=99,"", CONCATENATE("10.0.",TEXT(((BITWISE_AND('IP Address (no mod)'!$D$20,BZ$19)/4)+BY30*8),"0"),".",TEXT((BITWISE_AND('IP Address (no mod)'!$D$21,BZ$19)*64)+BV$23*10+BX30,"0")))</f>
        <v/>
      </c>
      <c r="CB30" s="100">
        <f t="shared" si="9"/>
        <v>0</v>
      </c>
      <c r="CC30" s="98"/>
      <c r="CD30" s="55"/>
      <c r="CE30" s="330"/>
      <c r="CF30" s="63" t="s">
        <v>257</v>
      </c>
      <c r="CG30" s="63">
        <v>6</v>
      </c>
      <c r="CH30" s="63">
        <v>99</v>
      </c>
      <c r="CI30" s="1"/>
      <c r="CJ30" s="3" t="str">
        <f>IF(CH30=99,"", CONCATENATE("10.0.",TEXT(((BITWISE_AND('IP Address (no mod)'!$D$20,CI$19)/4)+CH30*8),"0"),".",TEXT((BITWISE_AND('IP Address (no mod)'!$D$21,CI$19)*64)+CE$23*10+CG30,"0")))</f>
        <v/>
      </c>
      <c r="CK30" s="100">
        <f t="shared" si="10"/>
        <v>0</v>
      </c>
      <c r="CL30" s="98"/>
      <c r="CM30" s="55"/>
      <c r="CN30" s="330"/>
      <c r="CO30" s="63" t="s">
        <v>257</v>
      </c>
      <c r="CP30" s="63">
        <v>6</v>
      </c>
      <c r="CQ30" s="63">
        <v>99</v>
      </c>
      <c r="CR30" s="1"/>
      <c r="CS30" s="3" t="str">
        <f>IF(CQ30=99,"", CONCATENATE("10.0.",TEXT(((BITWISE_AND('IP Address (no mod)'!$D$20,CR$19)/4)+CQ30*8),"0"),".",TEXT((BITWISE_AND('IP Address (no mod)'!$D$21,CR$19)*64)+CN$23*10+CP30,"0")))</f>
        <v/>
      </c>
      <c r="CT30" s="100">
        <f t="shared" si="11"/>
        <v>0</v>
      </c>
      <c r="CU30" s="98"/>
      <c r="CV30" s="55"/>
      <c r="CW30" s="330"/>
      <c r="CX30" s="63" t="s">
        <v>257</v>
      </c>
      <c r="CY30" s="63">
        <v>6</v>
      </c>
      <c r="CZ30" s="63">
        <v>99</v>
      </c>
      <c r="DA30" s="1"/>
      <c r="DB30" s="3" t="str">
        <f>IF(CZ30=99,"", CONCATENATE("10.0.",TEXT(((BITWISE_AND('IP Address (no mod)'!$D$20,DA$19)/4)+CZ30*8),"0"),".",TEXT((BITWISE_AND('IP Address (no mod)'!$D$21,DA$19)*64)+CW$23*10+CY30,"0")))</f>
        <v/>
      </c>
      <c r="DC30" s="100">
        <f t="shared" si="12"/>
        <v>0</v>
      </c>
      <c r="DD30" s="98"/>
      <c r="DE30" s="55"/>
      <c r="DF30" s="330"/>
      <c r="DG30" s="63" t="s">
        <v>257</v>
      </c>
      <c r="DH30" s="63">
        <v>6</v>
      </c>
      <c r="DI30" s="63">
        <v>99</v>
      </c>
      <c r="DJ30" s="1"/>
      <c r="DK30" s="3" t="str">
        <f>IF(DI30=99,"", CONCATENATE("10.0.",TEXT(((BITWISE_AND('IP Address (no mod)'!$D$20,DJ$19)/4)+DI30*8),"0"),".",TEXT((BITWISE_AND('IP Address (no mod)'!$D$21,DJ$19)*64)+DF$23*10+DH30,"0")))</f>
        <v/>
      </c>
      <c r="DL30" s="100">
        <f t="shared" si="13"/>
        <v>0</v>
      </c>
      <c r="DM30" s="98"/>
      <c r="DN30" s="55"/>
      <c r="DO30" s="330"/>
      <c r="DP30" s="63" t="s">
        <v>257</v>
      </c>
      <c r="DQ30" s="63">
        <v>6</v>
      </c>
      <c r="DR30" s="63">
        <v>99</v>
      </c>
      <c r="DS30" s="1"/>
      <c r="DT30" s="3" t="str">
        <f>IF(DR30=99,"", CONCATENATE("10.0.",TEXT(((BITWISE_AND('IP Address (no mod)'!$D$20,DS$19)/4)+DR30*8),"0"),".",TEXT((BITWISE_AND('IP Address (no mod)'!$D$21,DS$19)*64)+DO$23*10+DQ30,"0")))</f>
        <v/>
      </c>
      <c r="DU30" s="100">
        <f t="shared" si="14"/>
        <v>0</v>
      </c>
      <c r="DV30" s="98"/>
      <c r="DW30" s="55"/>
      <c r="DX30" s="330"/>
      <c r="DY30" s="63" t="s">
        <v>257</v>
      </c>
      <c r="DZ30" s="63">
        <v>6</v>
      </c>
      <c r="EA30" s="63">
        <v>99</v>
      </c>
      <c r="EB30" s="1"/>
      <c r="EC30" s="3" t="str">
        <f>IF(EA30=99,"", CONCATENATE("10.0.",TEXT(((BITWISE_AND('IP Address (no mod)'!$D$20,EB$19)/4)+EA30*8),"0"),".",TEXT((BITWISE_AND('IP Address (no mod)'!$D$21,EB$19)*64)+DX$23*10+DZ30,"0")))</f>
        <v/>
      </c>
      <c r="ED30" s="100">
        <f t="shared" si="15"/>
        <v>0</v>
      </c>
      <c r="EE30" s="98"/>
      <c r="EF30" s="55"/>
      <c r="EG30" s="330"/>
      <c r="EH30" s="63" t="s">
        <v>257</v>
      </c>
      <c r="EI30" s="63">
        <v>6</v>
      </c>
      <c r="EJ30" s="63">
        <v>3</v>
      </c>
      <c r="EK30" s="64" t="s">
        <v>506</v>
      </c>
      <c r="EL30" s="3" t="str">
        <f>CONCATENATE("10.0.",TEXT(((BITWISE_AND('IP Address (no mod)'!$D$20,EK$19)/4)+EJ30*8),"0"),".",TEXT((BITWISE_AND('IP Address (no mod)'!$D$21,EK$19)*64)+EG$23*10+EI30,"0"))</f>
        <v>10.0.27.198</v>
      </c>
      <c r="EM30" s="100">
        <f t="shared" si="0"/>
        <v>0</v>
      </c>
      <c r="EN30" s="95"/>
    </row>
    <row r="31" spans="1:144">
      <c r="A31" s="319"/>
      <c r="B31" s="93"/>
      <c r="C31" s="55"/>
      <c r="D31" s="330"/>
      <c r="E31" s="127" t="s">
        <v>259</v>
      </c>
      <c r="F31" s="76">
        <v>7</v>
      </c>
      <c r="G31" s="76">
        <v>2</v>
      </c>
      <c r="H31" s="77" t="s">
        <v>260</v>
      </c>
      <c r="I31" s="3" t="str">
        <f>IF(G31=99,"", CONCATENATE("10.0.",TEXT(((BITWISE_AND('IP Address (no mod)'!$D$20,H$19)/4)+G31*8),"0"),".",TEXT((BITWISE_AND('IP Address (no mod)'!$D$21,H$19)*64)+D$23*10+F31,"0")))</f>
        <v>10.0.16.71</v>
      </c>
      <c r="J31" s="100">
        <f t="shared" si="1"/>
        <v>0</v>
      </c>
      <c r="K31" s="98"/>
      <c r="L31" s="55"/>
      <c r="M31" s="330"/>
      <c r="N31" s="63" t="s">
        <v>259</v>
      </c>
      <c r="O31" s="63">
        <v>7</v>
      </c>
      <c r="P31" s="63">
        <v>3</v>
      </c>
      <c r="Q31" s="64" t="s">
        <v>261</v>
      </c>
      <c r="R31" s="3" t="str">
        <f>IF(P31=99,"", CONCATENATE("10.0.",TEXT(((BITWISE_AND('IP Address (no mod)'!$D$20,Q$19)/4)+P31*8),"0"),".",TEXT((BITWISE_AND('IP Address (no mod)'!$D$21,Q$19)*64)+M$23*10+O31,"0")))</f>
        <v>10.0.24.135</v>
      </c>
      <c r="S31" s="100">
        <f t="shared" si="2"/>
        <v>0</v>
      </c>
      <c r="T31" s="98"/>
      <c r="U31" s="55"/>
      <c r="V31" s="330"/>
      <c r="W31" s="63" t="s">
        <v>259</v>
      </c>
      <c r="X31" s="63">
        <v>7</v>
      </c>
      <c r="Y31" s="63">
        <v>99</v>
      </c>
      <c r="Z31" s="1"/>
      <c r="AA31" s="3" t="str">
        <f>IF(Y31=99,"", CONCATENATE("10.0.",TEXT(((BITWISE_AND('IP Address (no mod)'!$D$20,Z$19)/4)+Y31*8),"0"),".",TEXT((BITWISE_AND('IP Address (no mod)'!$D$21,Z$19)*64)+V$23*10+X31,"0")))</f>
        <v/>
      </c>
      <c r="AB31" s="100">
        <f t="shared" si="3"/>
        <v>0</v>
      </c>
      <c r="AC31" s="98"/>
      <c r="AD31" s="55"/>
      <c r="AE31" s="330"/>
      <c r="AF31" s="63" t="s">
        <v>259</v>
      </c>
      <c r="AG31" s="63">
        <v>7</v>
      </c>
      <c r="AH31" s="63">
        <v>3</v>
      </c>
      <c r="AI31" s="64" t="s">
        <v>261</v>
      </c>
      <c r="AJ31" s="3" t="str">
        <f>IF(AH31=99,"", CONCATENATE("10.0.",TEXT(((BITWISE_AND('IP Address (no mod)'!$D$20,AI$19)/4)+AH31*8),"0"),".",TEXT((BITWISE_AND('IP Address (no mod)'!$D$21,AI$19)*64)+AE$23*10+AG31,"0")))</f>
        <v>10.0.29.135</v>
      </c>
      <c r="AK31" s="100">
        <f t="shared" si="4"/>
        <v>0</v>
      </c>
      <c r="AL31" s="330"/>
      <c r="AM31" s="63" t="s">
        <v>259</v>
      </c>
      <c r="AN31" s="1">
        <v>7</v>
      </c>
      <c r="AO31" s="63">
        <v>3</v>
      </c>
      <c r="AP31" s="64" t="s">
        <v>262</v>
      </c>
      <c r="AQ31" s="3" t="str">
        <f>IF(AO31=99,"", CONCATENATE("10.0.",TEXT(((BITWISE_AND('IP Address (no mod)'!$D$20,AI$19)/4)+AO31*8),"0"),".",TEXT((BITWISE_AND('IP Address (no mod)'!$D$21,AI$19)*64)+AL$23*10+AN31,"0")))</f>
        <v>10.0.29.175</v>
      </c>
      <c r="AR31" s="100">
        <f t="shared" si="5"/>
        <v>0</v>
      </c>
      <c r="AS31" s="98"/>
      <c r="AT31" s="55"/>
      <c r="AU31" s="330"/>
      <c r="AV31" s="63" t="s">
        <v>259</v>
      </c>
      <c r="AW31" s="63">
        <v>7</v>
      </c>
      <c r="AX31" s="63">
        <v>99</v>
      </c>
      <c r="AY31" s="1"/>
      <c r="AZ31" s="3" t="str">
        <f>IF(AX31=99,"", CONCATENATE("10.0.",TEXT(((BITWISE_AND('IP Address (no mod)'!$D$20,AY$19)/4)+AX31*8),"0"),".",TEXT((BITWISE_AND('IP Address (no mod)'!$D$21,AY$19)*64)+AU$23*10+AW31,"0")))</f>
        <v/>
      </c>
      <c r="BA31" s="100">
        <f t="shared" si="6"/>
        <v>0</v>
      </c>
      <c r="BB31" s="98"/>
      <c r="BC31" s="55"/>
      <c r="BD31" s="330"/>
      <c r="BE31" s="63" t="s">
        <v>259</v>
      </c>
      <c r="BF31" s="63">
        <v>7</v>
      </c>
      <c r="BG31" s="63">
        <v>3</v>
      </c>
      <c r="BH31" s="64" t="s">
        <v>261</v>
      </c>
      <c r="BI31" s="3" t="str">
        <f>IF(BG31=99,"", CONCATENATE("10.0.",TEXT(((BITWISE_AND('IP Address (no mod)'!$D$20,BH$19)/4)+BG31*8),"0"),".",TEXT((BITWISE_AND('IP Address (no mod)'!$D$21,BH$19)*64)+BD$23*10+BF31,"0")))</f>
        <v>10.0.25.135</v>
      </c>
      <c r="BJ31" s="100">
        <f t="shared" si="7"/>
        <v>0</v>
      </c>
      <c r="BK31" s="98"/>
      <c r="BL31" s="55"/>
      <c r="BM31" s="330"/>
      <c r="BN31" s="63" t="s">
        <v>259</v>
      </c>
      <c r="BO31" s="63">
        <v>7</v>
      </c>
      <c r="BP31" s="63">
        <v>99</v>
      </c>
      <c r="BQ31" s="1"/>
      <c r="BR31" s="3" t="str">
        <f>IF(BP31=99,"", CONCATENATE("10.0.",TEXT(((BITWISE_AND('IP Address (no mod)'!$D$20,BQ$19)/4)+BP31*8),"0"),".",TEXT((BITWISE_AND('IP Address (no mod)'!$D$21,BQ$19)*64)+BM$23*10+BO31,"0")))</f>
        <v/>
      </c>
      <c r="BS31" s="100">
        <f t="shared" si="8"/>
        <v>0</v>
      </c>
      <c r="BT31" s="98"/>
      <c r="BU31" s="55"/>
      <c r="BV31" s="330"/>
      <c r="BW31" s="63" t="s">
        <v>259</v>
      </c>
      <c r="BX31" s="63">
        <v>7</v>
      </c>
      <c r="BY31" s="63">
        <v>3</v>
      </c>
      <c r="BZ31" s="64" t="s">
        <v>261</v>
      </c>
      <c r="CA31" s="3" t="str">
        <f>IF(BY31=99,"", CONCATENATE("10.0.",TEXT(((BITWISE_AND('IP Address (no mod)'!$D$20,BZ$19)/4)+BY31*8),"0"),".",TEXT((BITWISE_AND('IP Address (no mod)'!$D$21,BZ$19)*64)+BV$23*10+BX31,"0")))</f>
        <v>10.0.26.7</v>
      </c>
      <c r="CB31" s="100">
        <f t="shared" si="9"/>
        <v>0</v>
      </c>
      <c r="CC31" s="98"/>
      <c r="CD31" s="55"/>
      <c r="CE31" s="330"/>
      <c r="CF31" s="63" t="s">
        <v>259</v>
      </c>
      <c r="CG31" s="63">
        <v>7</v>
      </c>
      <c r="CH31" s="63">
        <v>99</v>
      </c>
      <c r="CI31" s="1"/>
      <c r="CJ31" s="3" t="str">
        <f>IF(CH31=99,"", CONCATENATE("10.0.",TEXT(((BITWISE_AND('IP Address (no mod)'!$D$20,CI$19)/4)+CH31*8),"0"),".",TEXT((BITWISE_AND('IP Address (no mod)'!$D$21,CI$19)*64)+CE$23*10+CG31,"0")))</f>
        <v/>
      </c>
      <c r="CK31" s="100">
        <f t="shared" si="10"/>
        <v>0</v>
      </c>
      <c r="CL31" s="98"/>
      <c r="CM31" s="55"/>
      <c r="CN31" s="330"/>
      <c r="CO31" s="63" t="s">
        <v>259</v>
      </c>
      <c r="CP31" s="63">
        <v>7</v>
      </c>
      <c r="CQ31" s="63">
        <v>3</v>
      </c>
      <c r="CR31" s="64" t="s">
        <v>261</v>
      </c>
      <c r="CS31" s="3" t="str">
        <f>IF(CQ31=99,"", CONCATENATE("10.0.",TEXT(((BITWISE_AND('IP Address (no mod)'!$D$20,CR$19)/4)+CQ31*8),"0"),".",TEXT((BITWISE_AND('IP Address (no mod)'!$D$21,CR$19)*64)+CN$23*10+CP31,"0")))</f>
        <v>10.0.26.135</v>
      </c>
      <c r="CT31" s="100">
        <f t="shared" si="11"/>
        <v>0</v>
      </c>
      <c r="CU31" s="98"/>
      <c r="CV31" s="55"/>
      <c r="CW31" s="330"/>
      <c r="CX31" s="63" t="s">
        <v>259</v>
      </c>
      <c r="CY31" s="63">
        <v>7</v>
      </c>
      <c r="CZ31" s="63">
        <v>99</v>
      </c>
      <c r="DA31" s="1"/>
      <c r="DB31" s="3" t="str">
        <f>IF(CZ31=99,"", CONCATENATE("10.0.",TEXT(((BITWISE_AND('IP Address (no mod)'!$D$20,DA$19)/4)+CZ31*8),"0"),".",TEXT((BITWISE_AND('IP Address (no mod)'!$D$21,DA$19)*64)+CW$23*10+CY31,"0")))</f>
        <v/>
      </c>
      <c r="DC31" s="100">
        <f t="shared" si="12"/>
        <v>0</v>
      </c>
      <c r="DD31" s="98"/>
      <c r="DE31" s="55"/>
      <c r="DF31" s="330"/>
      <c r="DG31" s="63" t="s">
        <v>259</v>
      </c>
      <c r="DH31" s="63">
        <v>7</v>
      </c>
      <c r="DI31" s="63">
        <v>3</v>
      </c>
      <c r="DJ31" s="64" t="s">
        <v>261</v>
      </c>
      <c r="DK31" s="3" t="str">
        <f>IF(DI31=99,"", CONCATENATE("10.0.",TEXT(((BITWISE_AND('IP Address (no mod)'!$D$20,DJ$19)/4)+DI31*8),"0"),".",TEXT((BITWISE_AND('IP Address (no mod)'!$D$21,DJ$19)*64)+DF$23*10+DH31,"0")))</f>
        <v>10.0.27.7</v>
      </c>
      <c r="DL31" s="100">
        <f t="shared" si="13"/>
        <v>0</v>
      </c>
      <c r="DM31" s="98"/>
      <c r="DN31" s="55"/>
      <c r="DO31" s="330"/>
      <c r="DP31" s="63" t="s">
        <v>259</v>
      </c>
      <c r="DQ31" s="63">
        <v>7</v>
      </c>
      <c r="DR31" s="63">
        <v>99</v>
      </c>
      <c r="DS31" s="1"/>
      <c r="DT31" s="3" t="str">
        <f>IF(DR31=99,"", CONCATENATE("10.0.",TEXT(((BITWISE_AND('IP Address (no mod)'!$D$20,DS$19)/4)+DR31*8),"0"),".",TEXT((BITWISE_AND('IP Address (no mod)'!$D$21,DS$19)*64)+DO$23*10+DQ31,"0")))</f>
        <v/>
      </c>
      <c r="DU31" s="100">
        <f t="shared" si="14"/>
        <v>0</v>
      </c>
      <c r="DV31" s="98"/>
      <c r="DW31" s="55"/>
      <c r="DX31" s="330"/>
      <c r="DY31" s="63" t="s">
        <v>259</v>
      </c>
      <c r="DZ31" s="63">
        <v>7</v>
      </c>
      <c r="EA31" s="63">
        <v>3</v>
      </c>
      <c r="EB31" s="64" t="s">
        <v>261</v>
      </c>
      <c r="EC31" s="3" t="str">
        <f>IF(EA31=99,"", CONCATENATE("10.0.",TEXT(((BITWISE_AND('IP Address (no mod)'!$D$20,EB$19)/4)+EA31*8),"0"),".",TEXT((BITWISE_AND('IP Address (no mod)'!$D$21,EB$19)*64)+DX$23*10+DZ31,"0")))</f>
        <v>10.0.27.135</v>
      </c>
      <c r="ED31" s="100">
        <f t="shared" si="15"/>
        <v>0</v>
      </c>
      <c r="EE31" s="98"/>
      <c r="EF31" s="55"/>
      <c r="EG31" s="330"/>
      <c r="EH31" s="76" t="s">
        <v>259</v>
      </c>
      <c r="EI31" s="76">
        <v>7</v>
      </c>
      <c r="EJ31" s="76">
        <v>2</v>
      </c>
      <c r="EK31" s="77" t="s">
        <v>260</v>
      </c>
      <c r="EL31" s="3" t="str">
        <f>CONCATENATE("10.0.",TEXT(((BITWISE_AND('IP Address (no mod)'!$D$20,EK$19)/4)+EJ31*8),"0"),".",TEXT((BITWISE_AND('IP Address (no mod)'!$D$21,EK$19)*64)+EG$23*10+EI31,"0"))</f>
        <v>10.0.19.199</v>
      </c>
      <c r="EM31" s="100">
        <f t="shared" si="0"/>
        <v>0</v>
      </c>
      <c r="EN31" s="95"/>
    </row>
    <row r="32" spans="1:144">
      <c r="A32" s="319"/>
      <c r="B32" s="93"/>
      <c r="C32" s="55"/>
      <c r="D32" s="330"/>
      <c r="E32" s="8" t="s">
        <v>263</v>
      </c>
      <c r="F32" s="8">
        <v>8</v>
      </c>
      <c r="G32" s="8">
        <v>99</v>
      </c>
      <c r="H32" s="8" t="s">
        <v>264</v>
      </c>
      <c r="I32" s="3" t="str">
        <f>IF(G32=99,"", CONCATENATE("10.0.",TEXT(((BITWISE_AND('IP Address (no mod)'!$D$20,H$19)/4)+G32*8),"0"),".",TEXT((BITWISE_AND('IP Address (no mod)'!$D$21,H$19)*64)+D$23*10+F32,"0")))</f>
        <v/>
      </c>
      <c r="J32" s="100">
        <f t="shared" si="1"/>
        <v>0</v>
      </c>
      <c r="K32" s="98"/>
      <c r="L32" s="55"/>
      <c r="M32" s="330"/>
      <c r="N32" s="8" t="s">
        <v>263</v>
      </c>
      <c r="O32" s="8">
        <v>8</v>
      </c>
      <c r="P32" s="8">
        <v>99</v>
      </c>
      <c r="Q32" s="8"/>
      <c r="R32" s="5" t="str">
        <f>IF(P32=99,"", CONCATENATE("10.0.",TEXT(((BITWISE_AND('IP Address (no mod)'!$D$20,Q$19)/4)+P32*8),"0"),".",TEXT((BITWISE_AND('IP Address (no mod)'!$D$21,Q$19)*64)+M$23*10+O32,"0")))</f>
        <v/>
      </c>
      <c r="S32" s="100">
        <f t="shared" si="2"/>
        <v>0</v>
      </c>
      <c r="T32" s="98"/>
      <c r="U32" s="55"/>
      <c r="V32" s="330"/>
      <c r="W32" s="8" t="s">
        <v>263</v>
      </c>
      <c r="X32" s="8">
        <v>8</v>
      </c>
      <c r="Y32" s="8">
        <v>99</v>
      </c>
      <c r="Z32" s="8"/>
      <c r="AA32" s="5" t="str">
        <f>IF(Y32=99,"", CONCATENATE("10.0.",TEXT(((BITWISE_AND('IP Address (no mod)'!$D$20,Z$19)/4)+Y32*8),"0"),".",TEXT((BITWISE_AND('IP Address (no mod)'!$D$21,Z$19)*64)+V$23*10+X32,"0")))</f>
        <v/>
      </c>
      <c r="AB32" s="100">
        <f t="shared" si="3"/>
        <v>0</v>
      </c>
      <c r="AC32" s="98"/>
      <c r="AD32" s="55"/>
      <c r="AE32" s="330"/>
      <c r="AF32" s="8" t="s">
        <v>263</v>
      </c>
      <c r="AG32" s="8">
        <v>8</v>
      </c>
      <c r="AH32" s="8"/>
      <c r="AI32" s="2" t="s">
        <v>265</v>
      </c>
      <c r="AJ32" s="5"/>
      <c r="AK32" s="100">
        <f t="shared" si="4"/>
        <v>0</v>
      </c>
      <c r="AL32" s="330"/>
      <c r="AM32" s="8" t="s">
        <v>263</v>
      </c>
      <c r="AN32" s="2">
        <v>8</v>
      </c>
      <c r="AO32" s="70">
        <v>99</v>
      </c>
      <c r="AP32" s="78"/>
      <c r="AQ32" s="5" t="str">
        <f>IF(AO32=99,"", CONCATENATE("10.0.",TEXT(((BITWISE_AND('IP Address (no mod)'!$D$20,AI$19)/4)+AO32*8),"0"),".",TEXT((BITWISE_AND('IP Address (no mod)'!$D$21,AI$19)*64)+AL$23*10+AN32,"0")))</f>
        <v/>
      </c>
      <c r="AR32" s="100">
        <f t="shared" si="5"/>
        <v>0</v>
      </c>
      <c r="AS32" s="98"/>
      <c r="AT32" s="55"/>
      <c r="AU32" s="330"/>
      <c r="AV32" s="8" t="s">
        <v>263</v>
      </c>
      <c r="AW32" s="8">
        <v>8</v>
      </c>
      <c r="AX32" s="8">
        <v>99</v>
      </c>
      <c r="AY32" s="8"/>
      <c r="AZ32" s="5" t="str">
        <f>IF(AX32=99,"", CONCATENATE("10.0.",TEXT(((BITWISE_AND('IP Address (no mod)'!$D$20,AY$19)/4)+AX32*8),"0"),".",TEXT((BITWISE_AND('IP Address (no mod)'!$D$21,AY$19)*64)+AU$23*10+AW32,"0")))</f>
        <v/>
      </c>
      <c r="BA32" s="100">
        <f t="shared" si="6"/>
        <v>0</v>
      </c>
      <c r="BB32" s="98"/>
      <c r="BC32" s="55"/>
      <c r="BD32" s="330"/>
      <c r="BE32" s="8" t="s">
        <v>263</v>
      </c>
      <c r="BF32" s="8">
        <v>8</v>
      </c>
      <c r="BG32" s="8">
        <v>99</v>
      </c>
      <c r="BH32" s="8"/>
      <c r="BI32" s="5" t="str">
        <f>IF(BG32=99,"", CONCATENATE("10.0.",TEXT(((BITWISE_AND('IP Address (no mod)'!$D$20,BH$19)/4)+BG32*8),"0"),".",TEXT((BITWISE_AND('IP Address (no mod)'!$D$21,BH$19)*64)+BD$23*10+BF32,"0")))</f>
        <v/>
      </c>
      <c r="BJ32" s="100">
        <f t="shared" si="7"/>
        <v>0</v>
      </c>
      <c r="BK32" s="98"/>
      <c r="BL32" s="55"/>
      <c r="BM32" s="330"/>
      <c r="BN32" s="8" t="s">
        <v>263</v>
      </c>
      <c r="BO32" s="8">
        <v>8</v>
      </c>
      <c r="BP32" s="8">
        <v>99</v>
      </c>
      <c r="BQ32" s="8"/>
      <c r="BR32" s="5" t="str">
        <f>IF(BP32=99,"", CONCATENATE("10.0.",TEXT(((BITWISE_AND('IP Address (no mod)'!$D$20,BQ$19)/4)+BP32*8),"0"),".",TEXT((BITWISE_AND('IP Address (no mod)'!$D$21,BQ$19)*64)+BM$23*10+BO32,"0")))</f>
        <v/>
      </c>
      <c r="BS32" s="100">
        <f t="shared" si="8"/>
        <v>0</v>
      </c>
      <c r="BT32" s="98"/>
      <c r="BU32" s="55"/>
      <c r="BV32" s="330"/>
      <c r="BW32" s="8" t="s">
        <v>263</v>
      </c>
      <c r="BX32" s="8">
        <v>8</v>
      </c>
      <c r="BY32" s="8">
        <v>99</v>
      </c>
      <c r="BZ32" s="8"/>
      <c r="CA32" s="5" t="str">
        <f>IF(BY32=99,"", CONCATENATE("10.0.",TEXT(((BITWISE_AND('IP Address (no mod)'!$D$20,BZ$19)/4)+BY32*8),"0"),".",TEXT((BITWISE_AND('IP Address (no mod)'!$D$21,BZ$19)*64)+BV$23*10+BX32,"0")))</f>
        <v/>
      </c>
      <c r="CB32" s="100">
        <f t="shared" si="9"/>
        <v>0</v>
      </c>
      <c r="CC32" s="98"/>
      <c r="CD32" s="55"/>
      <c r="CE32" s="330"/>
      <c r="CF32" s="8" t="s">
        <v>263</v>
      </c>
      <c r="CG32" s="8">
        <v>8</v>
      </c>
      <c r="CH32" s="8">
        <v>99</v>
      </c>
      <c r="CI32" s="8"/>
      <c r="CJ32" s="5" t="str">
        <f>IF(CH32=99,"", CONCATENATE("10.0.",TEXT(((BITWISE_AND('IP Address (no mod)'!$D$20,CI$19)/4)+CH32*8),"0"),".",TEXT((BITWISE_AND('IP Address (no mod)'!$D$21,CI$19)*64)+CE$23*10+CG32,"0")))</f>
        <v/>
      </c>
      <c r="CK32" s="100">
        <f t="shared" si="10"/>
        <v>0</v>
      </c>
      <c r="CL32" s="98"/>
      <c r="CM32" s="55"/>
      <c r="CN32" s="330"/>
      <c r="CO32" s="8" t="s">
        <v>263</v>
      </c>
      <c r="CP32" s="8">
        <v>8</v>
      </c>
      <c r="CQ32" s="8">
        <v>99</v>
      </c>
      <c r="CR32" s="8"/>
      <c r="CS32" s="5" t="str">
        <f>IF(CQ32=99,"", CONCATENATE("10.0.",TEXT(((BITWISE_AND('IP Address (no mod)'!$D$20,CR$19)/4)+CQ32*8),"0"),".",TEXT((BITWISE_AND('IP Address (no mod)'!$D$21,CR$19)*64)+CN$23*10+CP32,"0")))</f>
        <v/>
      </c>
      <c r="CT32" s="100">
        <f t="shared" si="11"/>
        <v>0</v>
      </c>
      <c r="CU32" s="98"/>
      <c r="CV32" s="55"/>
      <c r="CW32" s="330"/>
      <c r="CX32" s="8" t="s">
        <v>263</v>
      </c>
      <c r="CY32" s="8">
        <v>8</v>
      </c>
      <c r="CZ32" s="8">
        <v>99</v>
      </c>
      <c r="DA32" s="8"/>
      <c r="DB32" s="5" t="str">
        <f>IF(CZ32=99,"", CONCATENATE("10.0.",TEXT(((BITWISE_AND('IP Address (no mod)'!$D$20,DA$19)/4)+CZ32*8),"0"),".",TEXT((BITWISE_AND('IP Address (no mod)'!$D$21,DA$19)*64)+CW$23*10+CY32,"0")))</f>
        <v/>
      </c>
      <c r="DC32" s="100">
        <f t="shared" si="12"/>
        <v>0</v>
      </c>
      <c r="DD32" s="98"/>
      <c r="DE32" s="55"/>
      <c r="DF32" s="330"/>
      <c r="DG32" s="8" t="s">
        <v>263</v>
      </c>
      <c r="DH32" s="8">
        <v>8</v>
      </c>
      <c r="DI32" s="8">
        <v>99</v>
      </c>
      <c r="DJ32" s="8"/>
      <c r="DK32" s="5" t="str">
        <f>IF(DI32=99,"", CONCATENATE("10.0.",TEXT(((BITWISE_AND('IP Address (no mod)'!$D$20,DJ$19)/4)+DI32*8),"0"),".",TEXT((BITWISE_AND('IP Address (no mod)'!$D$21,DJ$19)*64)+DF$23*10+DH32,"0")))</f>
        <v/>
      </c>
      <c r="DL32" s="100">
        <f t="shared" si="13"/>
        <v>0</v>
      </c>
      <c r="DM32" s="98"/>
      <c r="DN32" s="55"/>
      <c r="DO32" s="330"/>
      <c r="DP32" s="8" t="s">
        <v>263</v>
      </c>
      <c r="DQ32" s="8">
        <v>8</v>
      </c>
      <c r="DR32" s="8">
        <v>99</v>
      </c>
      <c r="DS32" s="8"/>
      <c r="DT32" s="5" t="str">
        <f>IF(DR32=99,"", CONCATENATE("10.0.",TEXT(((BITWISE_AND('IP Address (no mod)'!$D$20,DS$19)/4)+DR32*8),"0"),".",TEXT((BITWISE_AND('IP Address (no mod)'!$D$21,DS$19)*64)+DO$23*10+DQ32,"0")))</f>
        <v/>
      </c>
      <c r="DU32" s="100">
        <f t="shared" si="14"/>
        <v>0</v>
      </c>
      <c r="DV32" s="98"/>
      <c r="DW32" s="55"/>
      <c r="DX32" s="330"/>
      <c r="DY32" s="8" t="s">
        <v>263</v>
      </c>
      <c r="DZ32" s="8">
        <v>8</v>
      </c>
      <c r="EA32" s="8">
        <v>99</v>
      </c>
      <c r="EB32" s="8"/>
      <c r="EC32" s="5" t="str">
        <f>IF(EA32=99,"", CONCATENATE("10.0.",TEXT(((BITWISE_AND('IP Address (no mod)'!$D$20,EB$19)/4)+EA32*8),"0"),".",TEXT((BITWISE_AND('IP Address (no mod)'!$D$21,EB$19)*64)+DX$23*10+DZ32,"0")))</f>
        <v/>
      </c>
      <c r="ED32" s="100">
        <f t="shared" si="15"/>
        <v>0</v>
      </c>
      <c r="EE32" s="98"/>
      <c r="EF32" s="55"/>
      <c r="EG32" s="330"/>
      <c r="EH32" s="8" t="s">
        <v>263</v>
      </c>
      <c r="EI32" s="2">
        <v>8</v>
      </c>
      <c r="EJ32" s="8">
        <v>0</v>
      </c>
      <c r="EK32" s="237" t="s">
        <v>264</v>
      </c>
      <c r="EL32" s="237"/>
      <c r="EM32" s="100">
        <f t="shared" si="0"/>
        <v>-1</v>
      </c>
      <c r="EN32" s="95"/>
    </row>
    <row r="33" spans="1:144" ht="15.75" thickBot="1">
      <c r="A33" s="319"/>
      <c r="B33" s="93"/>
      <c r="C33" s="55"/>
      <c r="D33" s="331"/>
      <c r="E33" s="122" t="s">
        <v>266</v>
      </c>
      <c r="F33" s="123">
        <v>9</v>
      </c>
      <c r="G33" s="123">
        <v>3</v>
      </c>
      <c r="H33" s="123" t="s">
        <v>267</v>
      </c>
      <c r="I33" s="7" t="str">
        <f>IF(G33=99,"", CONCATENATE("10.0.",TEXT(((BITWISE_AND('IP Address (no mod)'!$D$20,H$19)/4)+G33*8),"0"),".",TEXT((BITWISE_AND('IP Address (no mod)'!$D$21,H$19)*64)+D$23*10+F33,"0")))</f>
        <v>10.0.24.73</v>
      </c>
      <c r="J33" s="100">
        <f t="shared" si="1"/>
        <v>0</v>
      </c>
      <c r="K33" s="98"/>
      <c r="L33" s="55"/>
      <c r="M33" s="331"/>
      <c r="N33" s="9" t="s">
        <v>266</v>
      </c>
      <c r="O33" s="9">
        <v>9</v>
      </c>
      <c r="P33" s="9">
        <v>99</v>
      </c>
      <c r="Q33" s="50"/>
      <c r="R33" s="7" t="str">
        <f>IF(P33=99,"", CONCATENATE("10.0.",TEXT(((BITWISE_AND('IP Address (no mod)'!$D$20,Q$19)/4)+P33*8),"0"),".",TEXT((BITWISE_AND('IP Address (no mod)'!$D$21,Q$19)*64)+M$23*10+O33,"0")))</f>
        <v/>
      </c>
      <c r="S33" s="100">
        <f t="shared" si="2"/>
        <v>0</v>
      </c>
      <c r="T33" s="98"/>
      <c r="U33" s="55"/>
      <c r="V33" s="331"/>
      <c r="W33" s="9" t="s">
        <v>266</v>
      </c>
      <c r="X33" s="9">
        <v>9</v>
      </c>
      <c r="Y33" s="9">
        <v>99</v>
      </c>
      <c r="Z33" s="50"/>
      <c r="AA33" s="7" t="str">
        <f>IF(Y33=99,"", CONCATENATE("10.0.",TEXT(((BITWISE_AND('IP Address (no mod)'!$D$20,Z$19)/4)+Y33*8),"0"),".",TEXT((BITWISE_AND('IP Address (no mod)'!$D$21,Z$19)*64)+V$23*10+X33,"0")))</f>
        <v/>
      </c>
      <c r="AB33" s="100">
        <f t="shared" si="3"/>
        <v>0</v>
      </c>
      <c r="AC33" s="98"/>
      <c r="AD33" s="55"/>
      <c r="AE33" s="331"/>
      <c r="AF33" s="9" t="s">
        <v>266</v>
      </c>
      <c r="AG33" s="9">
        <v>9</v>
      </c>
      <c r="AH33" s="9">
        <v>99</v>
      </c>
      <c r="AI33" s="50"/>
      <c r="AJ33" s="7" t="str">
        <f>IF(AH33=99,"", CONCATENATE("10.0.",TEXT(((BITWISE_AND('IP Address (no mod)'!$D$20,AI$19)/4)+AH33*8),"0"),".",TEXT((BITWISE_AND('IP Address (no mod)'!$D$21,AI$19)*64)+AE$23*10+AG33,"0")))</f>
        <v/>
      </c>
      <c r="AK33" s="100">
        <f t="shared" si="4"/>
        <v>0</v>
      </c>
      <c r="AL33" s="330"/>
      <c r="AM33" s="8" t="s">
        <v>266</v>
      </c>
      <c r="AN33" s="2">
        <v>9</v>
      </c>
      <c r="AO33" s="2">
        <v>99</v>
      </c>
      <c r="AP33" s="2"/>
      <c r="AQ33" s="5" t="str">
        <f>IF(AO33=99,"", CONCATENATE("10.0.",TEXT(((BITWISE_AND('IP Address (no mod)'!$D$20,AI$19)/4)+AO33*8),"0"),".",TEXT((BITWISE_AND('IP Address (no mod)'!$D$21,AI$19)*64)+AL$23*10+AN33,"0")))</f>
        <v/>
      </c>
      <c r="AR33" s="100">
        <f t="shared" si="5"/>
        <v>0</v>
      </c>
      <c r="AS33" s="98"/>
      <c r="AT33" s="55"/>
      <c r="AU33" s="331"/>
      <c r="AV33" s="9" t="s">
        <v>266</v>
      </c>
      <c r="AW33" s="9">
        <v>9</v>
      </c>
      <c r="AX33" s="9">
        <v>99</v>
      </c>
      <c r="AY33" s="50"/>
      <c r="AZ33" s="7" t="str">
        <f>IF(AX33=99,"", CONCATENATE("10.0.",TEXT(((BITWISE_AND('IP Address (no mod)'!$D$20,AY$19)/4)+AX33*8),"0"),".",TEXT((BITWISE_AND('IP Address (no mod)'!$D$21,AY$19)*64)+AU$23*10+AW33,"0")))</f>
        <v/>
      </c>
      <c r="BA33" s="100">
        <f t="shared" si="6"/>
        <v>0</v>
      </c>
      <c r="BB33" s="98"/>
      <c r="BC33" s="55"/>
      <c r="BD33" s="331"/>
      <c r="BE33" s="9" t="s">
        <v>266</v>
      </c>
      <c r="BF33" s="9">
        <v>9</v>
      </c>
      <c r="BG33" s="9">
        <v>99</v>
      </c>
      <c r="BH33" s="50"/>
      <c r="BI33" s="7" t="str">
        <f>IF(BG33=99,"", CONCATENATE("10.0.",TEXT(((BITWISE_AND('IP Address (no mod)'!$D$20,BH$19)/4)+BG33*8),"0"),".",TEXT((BITWISE_AND('IP Address (no mod)'!$D$21,BH$19)*64)+BD$23*10+BF33,"0")))</f>
        <v/>
      </c>
      <c r="BJ33" s="100">
        <f t="shared" si="7"/>
        <v>0</v>
      </c>
      <c r="BK33" s="98"/>
      <c r="BL33" s="55"/>
      <c r="BM33" s="331"/>
      <c r="BN33" s="9" t="s">
        <v>266</v>
      </c>
      <c r="BO33" s="9">
        <v>9</v>
      </c>
      <c r="BP33" s="9">
        <v>99</v>
      </c>
      <c r="BQ33" s="50"/>
      <c r="BR33" s="7" t="str">
        <f>IF(BP33=99,"", CONCATENATE("10.0.",TEXT(((BITWISE_AND('IP Address (no mod)'!$D$20,BQ$19)/4)+BP33*8),"0"),".",TEXT((BITWISE_AND('IP Address (no mod)'!$D$21,BQ$19)*64)+BM$23*10+BO33,"0")))</f>
        <v/>
      </c>
      <c r="BS33" s="100">
        <f t="shared" si="8"/>
        <v>0</v>
      </c>
      <c r="BT33" s="98"/>
      <c r="BU33" s="55"/>
      <c r="BV33" s="331"/>
      <c r="BW33" s="9" t="s">
        <v>266</v>
      </c>
      <c r="BX33" s="9">
        <v>9</v>
      </c>
      <c r="BY33" s="9">
        <v>99</v>
      </c>
      <c r="BZ33" s="50"/>
      <c r="CA33" s="7" t="str">
        <f>IF(BY33=99,"", CONCATENATE("10.0.",TEXT(((BITWISE_AND('IP Address (no mod)'!$D$20,BZ$19)/4)+BY33*8),"0"),".",TEXT((BITWISE_AND('IP Address (no mod)'!$D$21,BZ$19)*64)+BV$23*10+BX33,"0")))</f>
        <v/>
      </c>
      <c r="CB33" s="100">
        <f t="shared" si="9"/>
        <v>0</v>
      </c>
      <c r="CC33" s="98"/>
      <c r="CD33" s="55"/>
      <c r="CE33" s="331"/>
      <c r="CF33" s="9" t="s">
        <v>266</v>
      </c>
      <c r="CG33" s="9">
        <v>9</v>
      </c>
      <c r="CH33" s="9">
        <v>99</v>
      </c>
      <c r="CI33" s="50"/>
      <c r="CJ33" s="7" t="str">
        <f>IF(CH33=99,"", CONCATENATE("10.0.",TEXT(((BITWISE_AND('IP Address (no mod)'!$D$20,CI$19)/4)+CH33*8),"0"),".",TEXT((BITWISE_AND('IP Address (no mod)'!$D$21,CI$19)*64)+CE$23*10+CG33,"0")))</f>
        <v/>
      </c>
      <c r="CK33" s="100">
        <f t="shared" si="10"/>
        <v>0</v>
      </c>
      <c r="CL33" s="98"/>
      <c r="CM33" s="55"/>
      <c r="CN33" s="331"/>
      <c r="CO33" s="9" t="s">
        <v>266</v>
      </c>
      <c r="CP33" s="9">
        <v>9</v>
      </c>
      <c r="CQ33" s="9">
        <v>99</v>
      </c>
      <c r="CR33" s="50"/>
      <c r="CS33" s="7" t="str">
        <f>IF(CQ33=99,"", CONCATENATE("10.0.",TEXT(((BITWISE_AND('IP Address (no mod)'!$D$20,CR$19)/4)+CQ33*8),"0"),".",TEXT((BITWISE_AND('IP Address (no mod)'!$D$21,CR$19)*64)+CN$23*10+CP33,"0")))</f>
        <v/>
      </c>
      <c r="CT33" s="100">
        <f t="shared" si="11"/>
        <v>0</v>
      </c>
      <c r="CU33" s="98"/>
      <c r="CV33" s="55"/>
      <c r="CW33" s="331"/>
      <c r="CX33" s="9" t="s">
        <v>266</v>
      </c>
      <c r="CY33" s="9">
        <v>9</v>
      </c>
      <c r="CZ33" s="9">
        <v>99</v>
      </c>
      <c r="DA33" s="50"/>
      <c r="DB33" s="7" t="str">
        <f>IF(CZ33=99,"", CONCATENATE("10.0.",TEXT(((BITWISE_AND('IP Address (no mod)'!$D$20,DA$19)/4)+CZ33*8),"0"),".",TEXT((BITWISE_AND('IP Address (no mod)'!$D$21,DA$19)*64)+CW$23*10+CY33,"0")))</f>
        <v/>
      </c>
      <c r="DC33" s="100">
        <f t="shared" si="12"/>
        <v>0</v>
      </c>
      <c r="DD33" s="98"/>
      <c r="DE33" s="55"/>
      <c r="DF33" s="331"/>
      <c r="DG33" s="9" t="s">
        <v>266</v>
      </c>
      <c r="DH33" s="9">
        <v>9</v>
      </c>
      <c r="DI33" s="9">
        <v>99</v>
      </c>
      <c r="DJ33" s="50"/>
      <c r="DK33" s="7" t="str">
        <f>IF(DI33=99,"", CONCATENATE("10.0.",TEXT(((BITWISE_AND('IP Address (no mod)'!$D$20,DJ$19)/4)+DI33*8),"0"),".",TEXT((BITWISE_AND('IP Address (no mod)'!$D$21,DJ$19)*64)+DF$23*10+DH33,"0")))</f>
        <v/>
      </c>
      <c r="DL33" s="100">
        <f t="shared" si="13"/>
        <v>0</v>
      </c>
      <c r="DM33" s="98"/>
      <c r="DN33" s="55"/>
      <c r="DO33" s="331"/>
      <c r="DP33" s="9" t="s">
        <v>266</v>
      </c>
      <c r="DQ33" s="9">
        <v>9</v>
      </c>
      <c r="DR33" s="9">
        <v>99</v>
      </c>
      <c r="DS33" s="50"/>
      <c r="DT33" s="7" t="str">
        <f>IF(DR33=99,"", CONCATENATE("10.0.",TEXT(((BITWISE_AND('IP Address (no mod)'!$D$20,DS$19)/4)+DR33*8),"0"),".",TEXT((BITWISE_AND('IP Address (no mod)'!$D$21,DS$19)*64)+DO$23*10+DQ33,"0")))</f>
        <v/>
      </c>
      <c r="DU33" s="100">
        <f t="shared" si="14"/>
        <v>0</v>
      </c>
      <c r="DV33" s="98"/>
      <c r="DW33" s="55"/>
      <c r="DX33" s="331"/>
      <c r="DY33" s="9" t="s">
        <v>266</v>
      </c>
      <c r="DZ33" s="9">
        <v>9</v>
      </c>
      <c r="EA33" s="9">
        <v>99</v>
      </c>
      <c r="EB33" s="50"/>
      <c r="EC33" s="7" t="str">
        <f>IF(EA33=99,"", CONCATENATE("10.0.",TEXT(((BITWISE_AND('IP Address (no mod)'!$D$20,EB$19)/4)+EA33*8),"0"),".",TEXT((BITWISE_AND('IP Address (no mod)'!$D$21,EB$19)*64)+DX$23*10+DZ33,"0")))</f>
        <v/>
      </c>
      <c r="ED33" s="100">
        <f t="shared" si="15"/>
        <v>0</v>
      </c>
      <c r="EE33" s="98"/>
      <c r="EF33" s="55"/>
      <c r="EG33" s="331"/>
      <c r="EH33" s="9" t="s">
        <v>266</v>
      </c>
      <c r="EI33" s="6">
        <v>9</v>
      </c>
      <c r="EJ33" s="123">
        <v>3</v>
      </c>
      <c r="EK33" s="123" t="s">
        <v>267</v>
      </c>
      <c r="EL33" s="3" t="str">
        <f>CONCATENATE("10.0.",TEXT(((BITWISE_AND('IP Address (no mod)'!$D$20,EK$19)/4)+EJ33*8),"0"),".",TEXT((BITWISE_AND('IP Address (no mod)'!$D$21,EK$19)*64)+EG$23*10+EI33,"0"))</f>
        <v>10.0.27.201</v>
      </c>
      <c r="EM33" s="100">
        <f t="shared" si="0"/>
        <v>0</v>
      </c>
      <c r="EN33" s="95"/>
    </row>
    <row r="34" spans="1:144" ht="15.75" thickBot="1">
      <c r="A34" s="319"/>
      <c r="B34" s="93"/>
      <c r="C34" s="15"/>
      <c r="D34" s="81"/>
      <c r="E34" s="81"/>
      <c r="F34" s="81"/>
      <c r="G34" s="81"/>
      <c r="H34" s="81"/>
      <c r="I34" s="81"/>
      <c r="J34" s="100"/>
      <c r="K34" s="98"/>
      <c r="L34" s="15"/>
      <c r="M34" s="65"/>
      <c r="N34" s="65"/>
      <c r="O34" s="65"/>
      <c r="P34" s="65"/>
      <c r="Q34" s="65"/>
      <c r="R34" s="65"/>
      <c r="S34" s="4"/>
      <c r="T34" s="98"/>
      <c r="U34" s="15"/>
      <c r="V34" s="65"/>
      <c r="W34" s="65"/>
      <c r="X34" s="65"/>
      <c r="Y34" s="65"/>
      <c r="Z34" s="65"/>
      <c r="AA34" s="65"/>
      <c r="AB34" s="4"/>
      <c r="AC34" s="98"/>
      <c r="AD34" s="15"/>
      <c r="AE34" s="65"/>
      <c r="AF34" s="65"/>
      <c r="AG34" s="65"/>
      <c r="AH34" s="65"/>
      <c r="AI34" s="65"/>
      <c r="AJ34" s="65"/>
      <c r="AK34" s="73"/>
      <c r="AL34" s="330"/>
      <c r="AM34" s="8" t="s">
        <v>268</v>
      </c>
      <c r="AN34" s="2"/>
      <c r="AO34" s="2"/>
      <c r="AP34" s="2" t="s">
        <v>269</v>
      </c>
      <c r="AQ34" s="156"/>
      <c r="AR34" s="59"/>
      <c r="AS34" s="98"/>
      <c r="AT34" s="15"/>
      <c r="AU34" s="65"/>
      <c r="AV34" s="65"/>
      <c r="AW34" s="65"/>
      <c r="AX34" s="65"/>
      <c r="AY34" s="65"/>
      <c r="AZ34" s="65"/>
      <c r="BA34" s="4"/>
      <c r="BB34" s="98"/>
      <c r="BC34" s="15"/>
      <c r="BD34" s="65"/>
      <c r="BE34" s="65"/>
      <c r="BF34" s="65"/>
      <c r="BG34" s="65"/>
      <c r="BH34" s="65"/>
      <c r="BI34" s="65"/>
      <c r="BJ34" s="4"/>
      <c r="BK34" s="98"/>
      <c r="BL34" s="15"/>
      <c r="BM34" s="65"/>
      <c r="BN34" s="65"/>
      <c r="BO34" s="65"/>
      <c r="BP34" s="65"/>
      <c r="BQ34" s="65"/>
      <c r="BR34" s="65"/>
      <c r="BS34" s="4"/>
      <c r="BT34" s="98"/>
      <c r="BU34" s="15"/>
      <c r="BV34" s="65"/>
      <c r="BW34" s="65"/>
      <c r="BX34" s="65"/>
      <c r="BY34" s="65"/>
      <c r="BZ34" s="65"/>
      <c r="CA34" s="65"/>
      <c r="CB34" s="4"/>
      <c r="CC34" s="98"/>
      <c r="CD34" s="15"/>
      <c r="CE34" s="65"/>
      <c r="CF34" s="65"/>
      <c r="CG34" s="65"/>
      <c r="CH34" s="65"/>
      <c r="CI34" s="65"/>
      <c r="CJ34" s="65"/>
      <c r="CK34" s="4"/>
      <c r="CL34" s="98"/>
      <c r="CM34" s="15"/>
      <c r="CN34" s="65"/>
      <c r="CO34" s="65"/>
      <c r="CP34" s="65"/>
      <c r="CQ34" s="65"/>
      <c r="CR34" s="65"/>
      <c r="CS34" s="65"/>
      <c r="CT34" s="4"/>
      <c r="CU34" s="98"/>
      <c r="CV34" s="15"/>
      <c r="CW34" s="65"/>
      <c r="CX34" s="65"/>
      <c r="CY34" s="65"/>
      <c r="CZ34" s="65"/>
      <c r="DA34" s="65"/>
      <c r="DB34" s="65"/>
      <c r="DC34" s="4"/>
      <c r="DD34" s="98"/>
      <c r="DE34" s="15"/>
      <c r="DF34" s="65"/>
      <c r="DG34" s="65"/>
      <c r="DH34" s="65"/>
      <c r="DI34" s="65"/>
      <c r="DJ34" s="65"/>
      <c r="DK34" s="65"/>
      <c r="DL34" s="4"/>
      <c r="DM34" s="98"/>
      <c r="DN34" s="15"/>
      <c r="DO34" s="65"/>
      <c r="DP34" s="65"/>
      <c r="DQ34" s="65"/>
      <c r="DR34" s="65"/>
      <c r="DS34" s="65"/>
      <c r="DT34" s="65"/>
      <c r="DU34" s="4"/>
      <c r="DV34" s="98"/>
      <c r="DW34" s="15"/>
      <c r="DX34" s="65"/>
      <c r="DY34" s="65"/>
      <c r="DZ34" s="65"/>
      <c r="EA34" s="65"/>
      <c r="EB34" s="65"/>
      <c r="EC34" s="65"/>
      <c r="ED34" s="4"/>
      <c r="EE34" s="98"/>
      <c r="EF34" s="15"/>
      <c r="EG34" s="81"/>
      <c r="EH34" s="81"/>
      <c r="EI34" s="81"/>
      <c r="EJ34" s="81"/>
      <c r="EK34" s="81"/>
      <c r="EL34" s="75"/>
      <c r="EM34" s="4"/>
      <c r="EN34" s="95"/>
    </row>
    <row r="35" spans="1:144" s="138" customFormat="1" ht="15.75" thickBot="1">
      <c r="A35" s="319"/>
      <c r="B35" s="142"/>
      <c r="C35" s="129"/>
      <c r="D35" s="130" t="s">
        <v>235</v>
      </c>
      <c r="E35" s="131" t="s">
        <v>187</v>
      </c>
      <c r="F35" s="131" t="s">
        <v>236</v>
      </c>
      <c r="G35" s="131" t="s">
        <v>182</v>
      </c>
      <c r="H35" s="131" t="s">
        <v>186</v>
      </c>
      <c r="I35" s="132" t="s">
        <v>237</v>
      </c>
      <c r="J35" s="132" t="s">
        <v>238</v>
      </c>
      <c r="K35" s="134"/>
      <c r="L35" s="129"/>
      <c r="M35" s="130" t="s">
        <v>235</v>
      </c>
      <c r="N35" s="131" t="s">
        <v>187</v>
      </c>
      <c r="O35" s="131" t="s">
        <v>236</v>
      </c>
      <c r="P35" s="131" t="s">
        <v>182</v>
      </c>
      <c r="Q35" s="131" t="s">
        <v>186</v>
      </c>
      <c r="R35" s="132" t="s">
        <v>237</v>
      </c>
      <c r="S35" s="132" t="s">
        <v>238</v>
      </c>
      <c r="T35" s="134"/>
      <c r="U35" s="129"/>
      <c r="V35" s="130" t="s">
        <v>235</v>
      </c>
      <c r="W35" s="131" t="s">
        <v>187</v>
      </c>
      <c r="X35" s="131" t="s">
        <v>236</v>
      </c>
      <c r="Y35" s="131" t="s">
        <v>182</v>
      </c>
      <c r="Z35" s="131" t="s">
        <v>186</v>
      </c>
      <c r="AA35" s="132" t="s">
        <v>237</v>
      </c>
      <c r="AB35" s="132" t="s">
        <v>238</v>
      </c>
      <c r="AC35" s="134"/>
      <c r="AD35" s="129"/>
      <c r="AE35" s="130" t="s">
        <v>235</v>
      </c>
      <c r="AF35" s="131" t="s">
        <v>187</v>
      </c>
      <c r="AG35" s="131" t="s">
        <v>236</v>
      </c>
      <c r="AH35" s="131" t="s">
        <v>182</v>
      </c>
      <c r="AI35" s="131" t="s">
        <v>186</v>
      </c>
      <c r="AJ35" s="132" t="s">
        <v>237</v>
      </c>
      <c r="AK35" s="132" t="s">
        <v>238</v>
      </c>
      <c r="AL35" s="330"/>
      <c r="AM35" s="8" t="s">
        <v>270</v>
      </c>
      <c r="AN35" s="2"/>
      <c r="AO35" s="2">
        <v>99</v>
      </c>
      <c r="AP35" s="144"/>
      <c r="AQ35" s="145"/>
      <c r="AR35" s="143"/>
      <c r="AS35" s="134"/>
      <c r="AT35" s="129"/>
      <c r="AU35" s="130" t="s">
        <v>235</v>
      </c>
      <c r="AV35" s="131" t="s">
        <v>187</v>
      </c>
      <c r="AW35" s="131" t="s">
        <v>236</v>
      </c>
      <c r="AX35" s="131" t="s">
        <v>182</v>
      </c>
      <c r="AY35" s="131" t="s">
        <v>186</v>
      </c>
      <c r="AZ35" s="132" t="s">
        <v>237</v>
      </c>
      <c r="BA35" s="132" t="s">
        <v>238</v>
      </c>
      <c r="BB35" s="134"/>
      <c r="BC35" s="129"/>
      <c r="BD35" s="130" t="s">
        <v>235</v>
      </c>
      <c r="BE35" s="131" t="s">
        <v>187</v>
      </c>
      <c r="BF35" s="131" t="s">
        <v>236</v>
      </c>
      <c r="BG35" s="131" t="s">
        <v>182</v>
      </c>
      <c r="BH35" s="131" t="s">
        <v>186</v>
      </c>
      <c r="BI35" s="132" t="s">
        <v>237</v>
      </c>
      <c r="BJ35" s="132" t="s">
        <v>238</v>
      </c>
      <c r="BK35" s="134"/>
      <c r="BL35" s="129"/>
      <c r="BM35" s="130" t="s">
        <v>235</v>
      </c>
      <c r="BN35" s="131" t="s">
        <v>187</v>
      </c>
      <c r="BO35" s="131" t="s">
        <v>236</v>
      </c>
      <c r="BP35" s="131" t="s">
        <v>182</v>
      </c>
      <c r="BQ35" s="131" t="s">
        <v>186</v>
      </c>
      <c r="BR35" s="132" t="s">
        <v>237</v>
      </c>
      <c r="BS35" s="132" t="s">
        <v>238</v>
      </c>
      <c r="BT35" s="134"/>
      <c r="BU35" s="129"/>
      <c r="BV35" s="130" t="s">
        <v>235</v>
      </c>
      <c r="BW35" s="131" t="s">
        <v>187</v>
      </c>
      <c r="BX35" s="131" t="s">
        <v>236</v>
      </c>
      <c r="BY35" s="131" t="s">
        <v>182</v>
      </c>
      <c r="BZ35" s="131" t="s">
        <v>186</v>
      </c>
      <c r="CA35" s="132" t="s">
        <v>237</v>
      </c>
      <c r="CB35" s="132" t="s">
        <v>238</v>
      </c>
      <c r="CC35" s="134"/>
      <c r="CD35" s="129"/>
      <c r="CE35" s="130" t="s">
        <v>235</v>
      </c>
      <c r="CF35" s="131" t="s">
        <v>187</v>
      </c>
      <c r="CG35" s="131" t="s">
        <v>236</v>
      </c>
      <c r="CH35" s="131" t="s">
        <v>182</v>
      </c>
      <c r="CI35" s="131" t="s">
        <v>186</v>
      </c>
      <c r="CJ35" s="132" t="s">
        <v>237</v>
      </c>
      <c r="CK35" s="132" t="s">
        <v>238</v>
      </c>
      <c r="CL35" s="134"/>
      <c r="CM35" s="129"/>
      <c r="CN35" s="130" t="s">
        <v>235</v>
      </c>
      <c r="CO35" s="131" t="s">
        <v>187</v>
      </c>
      <c r="CP35" s="131" t="s">
        <v>236</v>
      </c>
      <c r="CQ35" s="131" t="s">
        <v>182</v>
      </c>
      <c r="CR35" s="131" t="s">
        <v>186</v>
      </c>
      <c r="CS35" s="132" t="s">
        <v>237</v>
      </c>
      <c r="CT35" s="132" t="s">
        <v>238</v>
      </c>
      <c r="CU35" s="134"/>
      <c r="CV35" s="129"/>
      <c r="CW35" s="130" t="s">
        <v>235</v>
      </c>
      <c r="CX35" s="131" t="s">
        <v>187</v>
      </c>
      <c r="CY35" s="131" t="s">
        <v>236</v>
      </c>
      <c r="CZ35" s="131" t="s">
        <v>182</v>
      </c>
      <c r="DA35" s="131" t="s">
        <v>186</v>
      </c>
      <c r="DB35" s="132" t="s">
        <v>237</v>
      </c>
      <c r="DC35" s="132" t="s">
        <v>238</v>
      </c>
      <c r="DD35" s="134"/>
      <c r="DE35" s="129"/>
      <c r="DF35" s="130" t="s">
        <v>235</v>
      </c>
      <c r="DG35" s="131" t="s">
        <v>187</v>
      </c>
      <c r="DH35" s="131" t="s">
        <v>236</v>
      </c>
      <c r="DI35" s="131" t="s">
        <v>182</v>
      </c>
      <c r="DJ35" s="131" t="s">
        <v>186</v>
      </c>
      <c r="DK35" s="132" t="s">
        <v>237</v>
      </c>
      <c r="DL35" s="132" t="s">
        <v>238</v>
      </c>
      <c r="DM35" s="134"/>
      <c r="DN35" s="129"/>
      <c r="DO35" s="130" t="s">
        <v>235</v>
      </c>
      <c r="DP35" s="131" t="s">
        <v>187</v>
      </c>
      <c r="DQ35" s="131" t="s">
        <v>236</v>
      </c>
      <c r="DR35" s="131" t="s">
        <v>182</v>
      </c>
      <c r="DS35" s="131" t="s">
        <v>186</v>
      </c>
      <c r="DT35" s="132" t="s">
        <v>237</v>
      </c>
      <c r="DU35" s="132" t="s">
        <v>238</v>
      </c>
      <c r="DV35" s="134"/>
      <c r="DW35" s="129"/>
      <c r="DX35" s="130" t="s">
        <v>235</v>
      </c>
      <c r="DY35" s="131" t="s">
        <v>187</v>
      </c>
      <c r="DZ35" s="131" t="s">
        <v>236</v>
      </c>
      <c r="EA35" s="131" t="s">
        <v>182</v>
      </c>
      <c r="EB35" s="131" t="s">
        <v>186</v>
      </c>
      <c r="EC35" s="132" t="s">
        <v>237</v>
      </c>
      <c r="ED35" s="132" t="s">
        <v>238</v>
      </c>
      <c r="EE35" s="134"/>
      <c r="EF35" s="129"/>
      <c r="EG35" s="130" t="s">
        <v>235</v>
      </c>
      <c r="EH35" s="131" t="s">
        <v>187</v>
      </c>
      <c r="EI35" s="131" t="s">
        <v>236</v>
      </c>
      <c r="EJ35" s="131" t="s">
        <v>182</v>
      </c>
      <c r="EK35" s="131" t="s">
        <v>186</v>
      </c>
      <c r="EL35" s="132" t="s">
        <v>237</v>
      </c>
      <c r="EM35" s="132" t="s">
        <v>238</v>
      </c>
      <c r="EN35" s="133"/>
    </row>
    <row r="36" spans="1:144" ht="15.75" thickBot="1">
      <c r="A36" s="319"/>
      <c r="B36" s="93"/>
      <c r="C36" s="55"/>
      <c r="D36" s="60">
        <v>1</v>
      </c>
      <c r="E36" s="139"/>
      <c r="F36" s="140">
        <v>1</v>
      </c>
      <c r="G36" s="141">
        <v>0</v>
      </c>
      <c r="H36" s="57" t="s">
        <v>271</v>
      </c>
      <c r="I36" s="14" t="str">
        <f>CONCATENATE("10.0.",TEXT(((BITWISE_AND('IP Address (no mod)'!$D$20,H$19)/4)+G36*8),"0"),".",TEXT((BITWISE_AND('IP Address (no mod)'!$D$21,H$19)*64)+D$36*10+F36,"0"))</f>
        <v>10.0.0.75</v>
      </c>
      <c r="J36" s="100">
        <f>COUNTIF($I$23:$I$111,I36)+COUNTIF($R$23:$R$111,I36)+COUNTIF($AA$23:$AA$111,I36)+COUNTIF($AJ$23:$AJ$111,I36)+COUNTIF($AQ$23:$AQ$111,I36)+COUNTIF($AZ$23:$AZ$111,I36)+COUNTIF($BI$23:$BI$111,I36)+COUNTIF($BR$23:$BR$111,I36)+COUNTIF($CA$23:$CA$111,I36)+COUNTIF($CJ$23:$CJ$111,I36)+COUNTIF($CS$23:$CS$111,I36)+COUNTIF($DB$23:$DB$111,I36)+COUNTIF($DK$23:$DK$111,I36)+COUNTIF($DT$23:$DT$111,I36)+COUNTIF($EC$23:$EC$111,I36)+COUNTIF($EL$23:$EL$111,I36)-1</f>
        <v>0</v>
      </c>
      <c r="K36" s="98"/>
      <c r="L36" s="55"/>
      <c r="M36" s="60">
        <v>1</v>
      </c>
      <c r="N36" s="139"/>
      <c r="O36" s="140">
        <v>1</v>
      </c>
      <c r="P36" s="141">
        <v>0</v>
      </c>
      <c r="Q36" s="57" t="s">
        <v>271</v>
      </c>
      <c r="R36" s="14" t="str">
        <f>CONCATENATE("10.0.",TEXT(((BITWISE_AND('IP Address (no mod)'!$D$20,Q$19)/4)+P36*8),"0"),".",TEXT((BITWISE_AND('IP Address (no mod)'!$D$21,Q$19)*64)+M$36*10+O36,"0"))</f>
        <v>10.0.0.139</v>
      </c>
      <c r="S36" s="100">
        <f>COUNTIF($I$23:$I$111,R36)+COUNTIF($R$23:$R$111,R36)+COUNTIF($AA$23:$AA$111,R36)+COUNTIF($AJ$23:$AJ$111,R36)+COUNTIF($AQ$23:$AQ$111,R36)+COUNTIF($AZ$23:$AZ$111,R36)+COUNTIF($BI$23:$BI$111,R36)+COUNTIF($BR$23:$BR$111,R36)+COUNTIF($CA$23:$CA$111,R36)+COUNTIF($CJ$23:$CJ$111,R36)+COUNTIF($CS$23:$CS$111,R36)+COUNTIF($DB$23:$DB$111,R36)+COUNTIF($DK$23:$DK$111,R36)+COUNTIF($DT$23:$DT$111,R36)+COUNTIF($EC$23:$EC$111,R36)+COUNTIF($EL$23:$EL$111,R36)-1</f>
        <v>0</v>
      </c>
      <c r="T36" s="98"/>
      <c r="U36" s="55"/>
      <c r="V36" s="60">
        <v>1</v>
      </c>
      <c r="W36" s="139"/>
      <c r="X36" s="140">
        <v>1</v>
      </c>
      <c r="Y36" s="141">
        <v>0</v>
      </c>
      <c r="Z36" s="57" t="s">
        <v>271</v>
      </c>
      <c r="AA36" s="14" t="str">
        <f>CONCATENATE("10.0.",TEXT(((BITWISE_AND('IP Address (no mod)'!$D$20,Z$19)/4)+Y36*8),"0"),".",TEXT((BITWISE_AND('IP Address (no mod)'!$D$21,Z$19)*64)+V$36*10+X36,"0"))</f>
        <v>10.0.0.203</v>
      </c>
      <c r="AB36" s="100">
        <f>COUNTIF($I$23:$I$111,AA36)+COUNTIF($R$23:$R$111,AA36)+COUNTIF($AA$23:$AA$111,AA36)+COUNTIF($AJ$23:$AJ$111,AA36)+COUNTIF($AQ$23:$AQ$111,AA36)+COUNTIF($AZ$23:$AZ$111,AA36)+COUNTIF($BI$23:$BI$111,AA36)+COUNTIF($BR$23:$BR$111,AA36)+COUNTIF($CA$23:$CA$111,AA36)+COUNTIF($CJ$23:$CJ$111,AA36)+COUNTIF($CS$23:$CS$111,AA36)+COUNTIF($DB$23:$DB$111,AA36)+COUNTIF($DK$23:$DK$111,AA36)+COUNTIF($DT$23:$DT$111,AA36)+COUNTIF($EC$23:$EC$111,AA36)+COUNTIF($EL$23:$EL$111,AA36)-1</f>
        <v>0</v>
      </c>
      <c r="AC36" s="98"/>
      <c r="AD36" s="55"/>
      <c r="AE36" s="60">
        <v>1</v>
      </c>
      <c r="AF36" s="139"/>
      <c r="AG36" s="140">
        <v>1</v>
      </c>
      <c r="AH36" s="141">
        <v>0</v>
      </c>
      <c r="AI36" s="57" t="s">
        <v>271</v>
      </c>
      <c r="AJ36" s="14" t="str">
        <f>CONCATENATE("10.0.",TEXT(((BITWISE_AND('IP Address (no mod)'!$D$20,AI$19)/4)+AH36*8),"0"),".",TEXT((BITWISE_AND('IP Address (no mod)'!$D$21,AI$19)*64)+AE$36*10+AG36,"0"))</f>
        <v>10.0.5.139</v>
      </c>
      <c r="AK36" s="100">
        <f>COUNTIF($I$23:$I$111,AJ36)+COUNTIF($R$23:$R$111,AJ36)+COUNTIF($AA$23:$AA$111,AJ36)+COUNTIF($AJ$23:$AJ$111,AJ36)+COUNTIF($AQ$23:$AQ$111,AJ36)+COUNTIF($AZ$23:$AZ$111,AJ36)+COUNTIF($BI$23:$BI$111,AJ36)+COUNTIF($BR$23:$BR$111,AJ36)+COUNTIF($CA$23:$CA$111,AJ36)+COUNTIF($CJ$23:$CJ$111,AJ36)+COUNTIF($CS$23:$CS$111,AJ36)+COUNTIF($DB$23:$DB$111,AJ36)+COUNTIF($DK$23:$DK$111,AJ36)+COUNTIF($DT$23:$DT$111,AJ36)+COUNTIF($EC$23:$EC$111,AJ36)+COUNTIF($EL$23:$EL$111,AJ36)-1</f>
        <v>0</v>
      </c>
      <c r="AL36" s="330"/>
      <c r="AM36" s="8"/>
      <c r="AN36" s="2"/>
      <c r="AO36" s="2"/>
      <c r="AP36" s="2"/>
      <c r="AQ36" s="82"/>
      <c r="AR36" s="59"/>
      <c r="AS36" s="98"/>
      <c r="AT36" s="55"/>
      <c r="AU36" s="60">
        <v>1</v>
      </c>
      <c r="AV36" s="139"/>
      <c r="AW36" s="140">
        <v>1</v>
      </c>
      <c r="AX36" s="141">
        <v>0</v>
      </c>
      <c r="AY36" s="57" t="s">
        <v>271</v>
      </c>
      <c r="AZ36" s="14" t="str">
        <f>CONCATENATE("10.0.",TEXT(((BITWISE_AND('IP Address (no mod)'!$D$20,AY$19)/4)+AX36*8),"0"),".",TEXT((BITWISE_AND('IP Address (no mod)'!$D$21,AY$19)*64)+AU$36*10+AW36,"0"))</f>
        <v>10.0.1.75</v>
      </c>
      <c r="BA36" s="100">
        <f>COUNTIF($I$23:$I$111,AZ36)+COUNTIF($R$23:$R$111,AZ36)+COUNTIF($AA$23:$AA$111,AZ36)+COUNTIF($AJ$23:$AJ$111,AZ36)+COUNTIF($AQ$23:$AQ$111,AZ36)+COUNTIF($AZ$23:$AZ$111,AZ36)+COUNTIF($BI$23:$BI$111,AZ36)+COUNTIF($BR$23:$BR$111,AZ36)+COUNTIF($CA$23:$CA$111,AZ36)+COUNTIF($CJ$23:$CJ$111,AZ36)+COUNTIF($CS$23:$CS$111,AZ36)+COUNTIF($DB$23:$DB$111,AZ36)+COUNTIF($DK$23:$DK$111,AZ36)+COUNTIF($DT$23:$DT$111,AZ36)+COUNTIF($EC$23:$EC$111,AZ36)+COUNTIF($EL$23:$EL$111,AZ36)-1</f>
        <v>0</v>
      </c>
      <c r="BB36" s="98"/>
      <c r="BC36" s="55"/>
      <c r="BD36" s="60">
        <v>1</v>
      </c>
      <c r="BE36" s="139"/>
      <c r="BF36" s="140">
        <v>1</v>
      </c>
      <c r="BG36" s="141">
        <v>0</v>
      </c>
      <c r="BH36" s="57" t="s">
        <v>271</v>
      </c>
      <c r="BI36" s="14" t="str">
        <f>CONCATENATE("10.0.",TEXT(((BITWISE_AND('IP Address (no mod)'!$D$20,BH$19)/4)+BG36*8),"0"),".",TEXT((BITWISE_AND('IP Address (no mod)'!$D$21,BH$19)*64)+BD$36*10+BF36,"0"))</f>
        <v>10.0.1.139</v>
      </c>
      <c r="BJ36" s="100">
        <f>COUNTIF($I$23:$I$111,BI36)+COUNTIF($R$23:$R$111,BI36)+COUNTIF($AA$23:$AA$111,BI36)+COUNTIF($AJ$23:$AJ$111,BI36)+COUNTIF($AQ$23:$AQ$111,BI36)+COUNTIF($AZ$23:$AZ$111,BI36)+COUNTIF($BI$23:$BI$111,BI36)+COUNTIF($BR$23:$BR$111,BI36)+COUNTIF($CA$23:$CA$111,BI36)+COUNTIF($CJ$23:$CJ$111,BI36)+COUNTIF($CS$23:$CS$111,BI36)+COUNTIF($DB$23:$DB$111,BI36)+COUNTIF($DK$23:$DK$111,BI36)+COUNTIF($DT$23:$DT$111,BI36)+COUNTIF($EC$23:$EC$111,BI36)+COUNTIF($EL$23:$EL$111,BI36)-1</f>
        <v>0</v>
      </c>
      <c r="BK36" s="98"/>
      <c r="BL36" s="55"/>
      <c r="BM36" s="60">
        <v>1</v>
      </c>
      <c r="BN36" s="139"/>
      <c r="BO36" s="140">
        <v>1</v>
      </c>
      <c r="BP36" s="141">
        <v>0</v>
      </c>
      <c r="BQ36" s="57" t="s">
        <v>271</v>
      </c>
      <c r="BR36" s="14" t="str">
        <f>CONCATENATE("10.0.",TEXT(((BITWISE_AND('IP Address (no mod)'!$D$20,BQ$19)/4)+BP36*8),"0"),".",TEXT((BITWISE_AND('IP Address (no mod)'!$D$21,BQ$19)*64)+BM$36*10+BO36,"0"))</f>
        <v>10.0.1.203</v>
      </c>
      <c r="BS36" s="100">
        <f>COUNTIF($I$23:$I$111,BR36)+COUNTIF($R$23:$R$111,BR36)+COUNTIF($AA$23:$AA$111,BR36)+COUNTIF($AJ$23:$AJ$111,BR36)+COUNTIF($AQ$23:$AQ$111,BR36)+COUNTIF($AZ$23:$AZ$111,BR36)+COUNTIF($BI$23:$BI$111,BR36)+COUNTIF($BR$23:$BR$111,BR36)+COUNTIF($CA$23:$CA$111,BR36)+COUNTIF($CJ$23:$CJ$111,BR36)+COUNTIF($CS$23:$CS$111,BR36)+COUNTIF($DB$23:$DB$111,BR36)+COUNTIF($DK$23:$DK$111,BR36)+COUNTIF($DT$23:$DT$111,BR36)+COUNTIF($EC$23:$EC$111,BR36)+COUNTIF($EL$23:$EL$111,BR36)-1</f>
        <v>0</v>
      </c>
      <c r="BT36" s="98"/>
      <c r="BU36" s="55"/>
      <c r="BV36" s="60">
        <v>1</v>
      </c>
      <c r="BW36" s="139"/>
      <c r="BX36" s="140">
        <v>1</v>
      </c>
      <c r="BY36" s="141">
        <v>0</v>
      </c>
      <c r="BZ36" s="57" t="s">
        <v>271</v>
      </c>
      <c r="CA36" s="14" t="str">
        <f>CONCATENATE("10.0.",TEXT(((BITWISE_AND('IP Address (no mod)'!$D$20,BZ$19)/4)+BY36*8),"0"),".",TEXT((BITWISE_AND('IP Address (no mod)'!$D$21,BZ$19)*64)+BV$36*10+BX36,"0"))</f>
        <v>10.0.2.11</v>
      </c>
      <c r="CB36" s="100">
        <f>COUNTIF($I$23:$I$111,CA36)+COUNTIF($R$23:$R$111,CA36)+COUNTIF($AA$23:$AA$111,CA36)+COUNTIF($AJ$23:$AJ$111,CA36)+COUNTIF($AQ$23:$AQ$111,CA36)+COUNTIF($AZ$23:$AZ$111,CA36)+COUNTIF($BI$23:$BI$111,CA36)+COUNTIF($BR$23:$BR$111,CA36)+COUNTIF($CA$23:$CA$111,CA36)+COUNTIF($CJ$23:$CJ$111,CA36)+COUNTIF($CS$23:$CS$111,CA36)+COUNTIF($DB$23:$DB$111,CA36)+COUNTIF($DK$23:$DK$111,CA36)+COUNTIF($DT$23:$DT$111,CA36)+COUNTIF($EC$23:$EC$111,CA36)+COUNTIF($EL$23:$EL$111,CA36)-1</f>
        <v>0</v>
      </c>
      <c r="CC36" s="98"/>
      <c r="CD36" s="55"/>
      <c r="CE36" s="60">
        <v>1</v>
      </c>
      <c r="CF36" s="139"/>
      <c r="CG36" s="140">
        <v>1</v>
      </c>
      <c r="CH36" s="141">
        <v>0</v>
      </c>
      <c r="CI36" s="57" t="s">
        <v>271</v>
      </c>
      <c r="CJ36" s="14" t="str">
        <f>CONCATENATE("10.0.",TEXT(((BITWISE_AND('IP Address (no mod)'!$D$20,CI$19)/4)+CH36*8),"0"),".",TEXT((BITWISE_AND('IP Address (no mod)'!$D$21,CI$19)*64)+CE$36*10+CG36,"0"))</f>
        <v>10.0.2.75</v>
      </c>
      <c r="CK36" s="100">
        <f>COUNTIF($I$23:$I$111,CJ36)+COUNTIF($R$23:$R$111,CJ36)+COUNTIF($AA$23:$AA$111,CJ36)+COUNTIF($AJ$23:$AJ$111,CJ36)+COUNTIF($AQ$23:$AQ$111,CJ36)+COUNTIF($AZ$23:$AZ$111,CJ36)+COUNTIF($BI$23:$BI$111,CJ36)+COUNTIF($BR$23:$BR$111,CJ36)+COUNTIF($CA$23:$CA$111,CJ36)+COUNTIF($CJ$23:$CJ$111,CJ36)+COUNTIF($CS$23:$CS$111,CJ36)+COUNTIF($DB$23:$DB$111,CJ36)+COUNTIF($DK$23:$DK$111,CJ36)+COUNTIF($DT$23:$DT$111,CJ36)+COUNTIF($EC$23:$EC$111,CJ36)+COUNTIF($EL$23:$EL$111,CJ36)-1</f>
        <v>0</v>
      </c>
      <c r="CL36" s="98"/>
      <c r="CM36" s="55"/>
      <c r="CN36" s="60">
        <v>1</v>
      </c>
      <c r="CO36" s="139"/>
      <c r="CP36" s="140">
        <v>1</v>
      </c>
      <c r="CQ36" s="141">
        <v>0</v>
      </c>
      <c r="CR36" s="57" t="s">
        <v>271</v>
      </c>
      <c r="CS36" s="14" t="str">
        <f>CONCATENATE("10.0.",TEXT(((BITWISE_AND('IP Address (no mod)'!$D$20,CR$19)/4)+CQ36*8),"0"),".",TEXT((BITWISE_AND('IP Address (no mod)'!$D$21,CR$19)*64)+CN$36*10+CP36,"0"))</f>
        <v>10.0.2.139</v>
      </c>
      <c r="CT36" s="100">
        <f>COUNTIF($I$23:$I$111,CS36)+COUNTIF($R$23:$R$111,CS36)+COUNTIF($AA$23:$AA$111,CS36)+COUNTIF($AJ$23:$AJ$111,CS36)+COUNTIF($AQ$23:$AQ$111,CS36)+COUNTIF($AZ$23:$AZ$111,CS36)+COUNTIF($BI$23:$BI$111,CS36)+COUNTIF($BR$23:$BR$111,CS36)+COUNTIF($CA$23:$CA$111,CS36)+COUNTIF($CJ$23:$CJ$111,CS36)+COUNTIF($CS$23:$CS$111,CS36)+COUNTIF($DB$23:$DB$111,CS36)+COUNTIF($DK$23:$DK$111,CS36)+COUNTIF($DT$23:$DT$111,CS36)+COUNTIF($EC$23:$EC$111,CS36)+COUNTIF($EL$23:$EL$111,CS36)-1</f>
        <v>0</v>
      </c>
      <c r="CU36" s="98"/>
      <c r="CV36" s="55"/>
      <c r="CW36" s="60">
        <v>1</v>
      </c>
      <c r="CX36" s="139"/>
      <c r="CY36" s="140">
        <v>1</v>
      </c>
      <c r="CZ36" s="141">
        <v>0</v>
      </c>
      <c r="DA36" s="57" t="s">
        <v>271</v>
      </c>
      <c r="DB36" s="14" t="str">
        <f>CONCATENATE("10.0.",TEXT(((BITWISE_AND('IP Address (no mod)'!$D$20,DA$19)/4)+CZ36*8),"0"),".",TEXT((BITWISE_AND('IP Address (no mod)'!$D$21,DA$19)*64)+CW$36*10+CY36,"0"))</f>
        <v>10.0.2.203</v>
      </c>
      <c r="DC36" s="100">
        <f>COUNTIF($I$23:$I$111,DB36)+COUNTIF($R$23:$R$111,DB36)+COUNTIF($AA$23:$AA$111,DB36)+COUNTIF($AJ$23:$AJ$111,DB36)+COUNTIF($AQ$23:$AQ$111,DB36)+COUNTIF($AZ$23:$AZ$111,DB36)+COUNTIF($BI$23:$BI$111,DB36)+COUNTIF($BR$23:$BR$111,DB36)+COUNTIF($CA$23:$CA$111,DB36)+COUNTIF($CJ$23:$CJ$111,DB36)+COUNTIF($CS$23:$CS$111,DB36)+COUNTIF($DB$23:$DB$111,DB36)+COUNTIF($DK$23:$DK$111,DB36)+COUNTIF($DT$23:$DT$111,DB36)+COUNTIF($EC$23:$EC$111,DB36)+COUNTIF($EL$23:$EL$111,DB36)-1</f>
        <v>0</v>
      </c>
      <c r="DD36" s="98"/>
      <c r="DE36" s="55"/>
      <c r="DF36" s="60">
        <v>1</v>
      </c>
      <c r="DG36" s="139"/>
      <c r="DH36" s="140">
        <v>1</v>
      </c>
      <c r="DI36" s="141">
        <v>0</v>
      </c>
      <c r="DJ36" s="57" t="s">
        <v>271</v>
      </c>
      <c r="DK36" s="14" t="str">
        <f>CONCATENATE("10.0.",TEXT(((BITWISE_AND('IP Address (no mod)'!$D$20,DJ$19)/4)+DI36*8),"0"),".",TEXT((BITWISE_AND('IP Address (no mod)'!$D$21,DJ$19)*64)+DF$36*10+DH36,"0"))</f>
        <v>10.0.3.11</v>
      </c>
      <c r="DL36" s="100">
        <f>COUNTIF($I$23:$I$111,DK36)+COUNTIF($R$23:$R$111,DK36)+COUNTIF($AA$23:$AA$111,DK36)+COUNTIF($AJ$23:$AJ$111,DK36)+COUNTIF($AQ$23:$AQ$111,DK36)+COUNTIF($AZ$23:$AZ$111,DK36)+COUNTIF($BI$23:$BI$111,DK36)+COUNTIF($BR$23:$BR$111,DK36)+COUNTIF($CA$23:$CA$111,DK36)+COUNTIF($CJ$23:$CJ$111,DK36)+COUNTIF($CS$23:$CS$111,DK36)+COUNTIF($DB$23:$DB$111,DK36)+COUNTIF($DK$23:$DK$111,DK36)+COUNTIF($DT$23:$DT$111,DK36)+COUNTIF($EC$23:$EC$111,DK36)+COUNTIF($EL$23:$EL$111,DK36)-1</f>
        <v>0</v>
      </c>
      <c r="DM36" s="98"/>
      <c r="DN36" s="55"/>
      <c r="DO36" s="60">
        <v>1</v>
      </c>
      <c r="DP36" s="139"/>
      <c r="DQ36" s="140">
        <v>1</v>
      </c>
      <c r="DR36" s="141">
        <v>0</v>
      </c>
      <c r="DS36" s="57" t="s">
        <v>271</v>
      </c>
      <c r="DT36" s="14" t="str">
        <f>CONCATENATE("10.0.",TEXT(((BITWISE_AND('IP Address (no mod)'!$D$20,DS$19)/4)+DR36*8),"0"),".",TEXT((BITWISE_AND('IP Address (no mod)'!$D$21,DS$19)*64)+DO$36*10+DQ36,"0"))</f>
        <v>10.0.3.75</v>
      </c>
      <c r="DU36" s="100">
        <f>COUNTIF($I$23:$I$111,DT36)+COUNTIF($R$23:$R$111,DT36)+COUNTIF($AA$23:$AA$111,DT36)+COUNTIF($AJ$23:$AJ$111,DT36)+COUNTIF($AQ$23:$AQ$111,DT36)+COUNTIF($AZ$23:$AZ$111,DT36)+COUNTIF($BI$23:$BI$111,DT36)+COUNTIF($BR$23:$BR$111,DT36)+COUNTIF($CA$23:$CA$111,DT36)+COUNTIF($CJ$23:$CJ$111,DT36)+COUNTIF($CS$23:$CS$111,DT36)+COUNTIF($DB$23:$DB$111,DT36)+COUNTIF($DK$23:$DK$111,DT36)+COUNTIF($DT$23:$DT$111,DT36)+COUNTIF($EC$23:$EC$111,DT36)+COUNTIF($EL$23:$EL$111,DT36)-1</f>
        <v>0</v>
      </c>
      <c r="DV36" s="98"/>
      <c r="DW36" s="55"/>
      <c r="DX36" s="60">
        <v>1</v>
      </c>
      <c r="DY36" s="139"/>
      <c r="DZ36" s="140">
        <v>1</v>
      </c>
      <c r="EA36" s="141">
        <v>0</v>
      </c>
      <c r="EB36" s="57" t="s">
        <v>271</v>
      </c>
      <c r="EC36" s="14" t="str">
        <f>CONCATENATE("10.0.",TEXT(((BITWISE_AND('IP Address (no mod)'!$D$20,EB$19)/4)+EA36*8),"0"),".",TEXT((BITWISE_AND('IP Address (no mod)'!$D$21,EB$19)*64)+DX$36*10+DZ36,"0"))</f>
        <v>10.0.3.139</v>
      </c>
      <c r="ED36" s="100">
        <f>COUNTIF($I$23:$I$111,EC36)+COUNTIF($R$23:$R$111,EC36)+COUNTIF($AA$23:$AA$111,EC36)+COUNTIF($AJ$23:$AJ$111,EC36)+COUNTIF($AQ$23:$AQ$111,EC36)+COUNTIF($AZ$23:$AZ$111,EC36)+COUNTIF($BI$23:$BI$111,EC36)+COUNTIF($BR$23:$BR$111,EC36)+COUNTIF($CA$23:$CA$111,EC36)+COUNTIF($CJ$23:$CJ$111,EC36)+COUNTIF($CS$23:$CS$111,EC36)+COUNTIF($DB$23:$DB$111,EC36)+COUNTIF($DK$23:$DK$111,EC36)+COUNTIF($DT$23:$DT$111,EC36)+COUNTIF($EC$23:$EC$111,EC36)+COUNTIF($EL$23:$EL$111,EC36)-1</f>
        <v>0</v>
      </c>
      <c r="EE36" s="98"/>
      <c r="EF36" s="55"/>
      <c r="EG36" s="60">
        <v>1</v>
      </c>
      <c r="EH36" s="139"/>
      <c r="EI36" s="140">
        <v>1</v>
      </c>
      <c r="EJ36" s="141">
        <v>0</v>
      </c>
      <c r="EK36" s="57" t="s">
        <v>271</v>
      </c>
      <c r="EL36" s="14" t="str">
        <f>CONCATENATE("10.0.",TEXT(((BITWISE_AND('IP Address (no mod)'!$D$20,EK$19)/4)+EJ36*8),"0"),".",TEXT((BITWISE_AND('IP Address (no mod)'!$D$21,EK$19)*64)+EG$36*10+EI36,"0"))</f>
        <v>10.0.3.203</v>
      </c>
      <c r="EM36" s="100">
        <f t="shared" ref="EM36:EM46" si="16">COUNTIF($I$23:$I$111,EL36)+COUNTIF($R$23:$R$111,EL36)+COUNTIF($AA$23:$AA$111,EL36)+COUNTIF($AJ$23:$AJ$111,EL36)+COUNTIF($AQ$23:$AQ$111,EL36)+COUNTIF($AZ$23:$AZ$111,EL36)+COUNTIF($BI$23:$BI$111,EL36)+COUNTIF($BR$23:$BR$111,EL36)+COUNTIF($CA$23:$CA$111,EL36)+COUNTIF($CJ$23:$CJ$111,EL36)+COUNTIF($CS$23:$CS$111,EL36)+COUNTIF($DB$23:$DB$111,EL36)+COUNTIF($DK$23:$DK$111,EL36)+COUNTIF($DT$23:$DT$111,EL36)+COUNTIF($EC$23:$EC$111,EL36)+COUNTIF($EL$23:$EL$111,EL36)-1</f>
        <v>0</v>
      </c>
      <c r="EN36" s="95"/>
    </row>
    <row r="37" spans="1:144" ht="14.45" customHeight="1">
      <c r="A37" s="319"/>
      <c r="B37" s="93"/>
      <c r="C37" s="55"/>
      <c r="D37" s="329" t="s">
        <v>271</v>
      </c>
      <c r="E37" s="61" t="s">
        <v>241</v>
      </c>
      <c r="F37" s="61">
        <v>0</v>
      </c>
      <c r="G37" s="61">
        <v>1</v>
      </c>
      <c r="H37" s="62" t="s">
        <v>72</v>
      </c>
      <c r="I37" s="14" t="str">
        <f>IF(G37=99,"", CONCATENATE("10.0.",TEXT(((BITWISE_AND('IP Address (no mod)'!$D$20,H$19)/4)+G37*8),"0"),".",TEXT((BITWISE_AND('IP Address (no mod)'!$D$21,H$19)*64)+D$23*10+F37,"0")))</f>
        <v>10.0.8.64</v>
      </c>
      <c r="J37" s="100">
        <f t="shared" ref="J37:J55" si="17">IF(I37="",0,COUNTIF($I$23:$I$111,I37)+COUNTIF($R$23:$R$111,I37)+COUNTIF($AA$23:$AA$111,I37)+COUNTIF($AJ$23:$AJ$111,I37)+COUNTIF($AQ$23:$AQ$111,I37)+COUNTIF($AZ$23:$AZ$111,I37)+COUNTIF($BI$23:$BI$111,I37)+COUNTIF($BR$23:$BR$111,I37)+COUNTIF($CA$23:$CA$111,I37)+COUNTIF($CJ$23:$CJ$111,I37)+COUNTIF($CS$23:$CS$111,I37)+COUNTIF($DB$23:$DB$111,I37)+COUNTIF($DK$23:$DK$111,I37)+COUNTIF($DT$23:$DT$111,I37)+COUNTIF($EC$23:$EC$111,I37)+COUNTIF($EL$23:$EL$111,I37)-1)</f>
        <v>1</v>
      </c>
      <c r="K37" s="98"/>
      <c r="L37" s="55"/>
      <c r="M37" s="329" t="s">
        <v>271</v>
      </c>
      <c r="N37" s="61" t="s">
        <v>241</v>
      </c>
      <c r="O37" s="61">
        <v>0</v>
      </c>
      <c r="P37" s="61">
        <v>1</v>
      </c>
      <c r="Q37" s="62" t="s">
        <v>72</v>
      </c>
      <c r="R37" s="14" t="str">
        <f>IF(P37=99,"", CONCATENATE("10.0.",TEXT(((BITWISE_AND('IP Address (no mod)'!$D$20,Q$19)/4)+P37*8),"0"),".",TEXT((BITWISE_AND('IP Address (no mod)'!$D$21,Q$19)*64)+M$23*10+O37,"0")))</f>
        <v>10.0.8.128</v>
      </c>
      <c r="S37" s="100">
        <f t="shared" ref="S37:S46" si="18">IF(R37="",0,COUNTIF($I$23:$I$111,R37)+COUNTIF($R$23:$R$111,R37)+COUNTIF($AA$23:$AA$111,R37)+COUNTIF($AJ$23:$AJ$111,R37)+COUNTIF($AQ$23:$AQ$111,R37)+COUNTIF($AZ$23:$AZ$111,R37)+COUNTIF($BI$23:$BI$111,R37)+COUNTIF($BR$23:$BR$111,R37)+COUNTIF($CA$23:$CA$111,R37)+COUNTIF($CJ$23:$CJ$111,R37)+COUNTIF($CS$23:$CS$111,R37)+COUNTIF($DB$23:$DB$111,R37)+COUNTIF($DK$23:$DK$111,R37)+COUNTIF($DT$23:$DT$111,R37)+COUNTIF($EC$23:$EC$111,R37)+COUNTIF($EL$23:$EL$111,R37)-1)</f>
        <v>1</v>
      </c>
      <c r="T37" s="98"/>
      <c r="U37" s="55"/>
      <c r="V37" s="329" t="s">
        <v>271</v>
      </c>
      <c r="W37" s="61" t="s">
        <v>241</v>
      </c>
      <c r="X37" s="61">
        <v>0</v>
      </c>
      <c r="Y37" s="61">
        <v>1</v>
      </c>
      <c r="Z37" s="64" t="s">
        <v>72</v>
      </c>
      <c r="AA37" s="14" t="str">
        <f>IF(Y37=99,"", CONCATENATE("10.0.",TEXT(((BITWISE_AND('IP Address (no mod)'!$D$20,Z$19)/4)+Y37*8),"0"),".",TEXT((BITWISE_AND('IP Address (no mod)'!$D$21,Z$19)*64)+V$23*10+X37,"0")))</f>
        <v>10.0.8.192</v>
      </c>
      <c r="AB37" s="100">
        <f t="shared" ref="AB37:AB46" si="19">IF(AA37="",0,COUNTIF($I$23:$I$111,AA37)+COUNTIF($R$23:$R$111,AA37)+COUNTIF($AA$23:$AA$111,AA37)+COUNTIF($AJ$23:$AJ$111,AA37)+COUNTIF($AQ$23:$AQ$111,AA37)+COUNTIF($AZ$23:$AZ$111,AA37)+COUNTIF($BI$23:$BI$111,AA37)+COUNTIF($BR$23:$BR$111,AA37)+COUNTIF($CA$23:$CA$111,AA37)+COUNTIF($CJ$23:$CJ$111,AA37)+COUNTIF($CS$23:$CS$111,AA37)+COUNTIF($DB$23:$DB$111,AA37)+COUNTIF($DK$23:$DK$111,AA37)+COUNTIF($DT$23:$DT$111,AA37)+COUNTIF($EC$23:$EC$111,AA37)+COUNTIF($EL$23:$EL$111,AA37)-1)</f>
        <v>1</v>
      </c>
      <c r="AC37" s="98"/>
      <c r="AD37" s="55"/>
      <c r="AE37" s="329" t="s">
        <v>271</v>
      </c>
      <c r="AF37" s="61" t="s">
        <v>241</v>
      </c>
      <c r="AG37" s="61">
        <v>0</v>
      </c>
      <c r="AH37" s="61">
        <v>1</v>
      </c>
      <c r="AI37" s="62" t="s">
        <v>72</v>
      </c>
      <c r="AJ37" s="14" t="str">
        <f>IF(AH37=99,"", CONCATENATE("10.0.",TEXT(((BITWISE_AND('IP Address (no mod)'!$D$20,AI$19)/4)+AH37*8),"0"),".",TEXT((BITWISE_AND('IP Address (no mod)'!$D$21,AI$19)*64)+AE$23*10+AG37,"0")))</f>
        <v>10.0.13.128</v>
      </c>
      <c r="AK37" s="100">
        <f t="shared" ref="AK37:AK46" si="20">IF(AJ37="",0,COUNTIF($I$23:$I$111,AJ37)+COUNTIF($R$23:$R$111,AJ37)+COUNTIF($AA$23:$AA$111,AJ37)+COUNTIF($AJ$23:$AJ$111,AJ37)+COUNTIF($AQ$23:$AQ$111,AJ37)+COUNTIF($AZ$23:$AZ$111,AJ37)+COUNTIF($BI$23:$BI$111,AJ37)+COUNTIF($BR$23:$BR$111,AJ37)+COUNTIF($CA$23:$CA$111,AJ37)+COUNTIF($CJ$23:$CJ$111,AJ37)+COUNTIF($CS$23:$CS$111,AJ37)+COUNTIF($DB$23:$DB$111,AJ37)+COUNTIF($DK$23:$DK$111,AJ37)+COUNTIF($DT$23:$DT$111,AJ37)+COUNTIF($EC$23:$EC$111,AJ37)+COUNTIF($EL$23:$EL$111,AJ37)-1)</f>
        <v>1</v>
      </c>
      <c r="AL37" s="330"/>
      <c r="AM37" s="8" t="s">
        <v>272</v>
      </c>
      <c r="AN37" s="2"/>
      <c r="AO37" s="2"/>
      <c r="AP37" s="2" t="s">
        <v>273</v>
      </c>
      <c r="AQ37" s="5"/>
      <c r="AR37" s="59"/>
      <c r="AS37" s="98"/>
      <c r="AT37" s="55"/>
      <c r="AU37" s="329" t="s">
        <v>271</v>
      </c>
      <c r="AV37" s="61" t="s">
        <v>241</v>
      </c>
      <c r="AW37" s="61">
        <v>0</v>
      </c>
      <c r="AX37" s="61">
        <v>1</v>
      </c>
      <c r="AY37" s="64" t="s">
        <v>72</v>
      </c>
      <c r="AZ37" s="14" t="str">
        <f>IF(AX37=99,"", CONCATENATE("10.0.",TEXT(((BITWISE_AND('IP Address (no mod)'!$D$20,AY$19)/4)+AX37*8),"0"),".",TEXT((BITWISE_AND('IP Address (no mod)'!$D$21,AY$19)*64)+AU$23*10+AW37,"0")))</f>
        <v>10.0.9.64</v>
      </c>
      <c r="BA37" s="100">
        <f t="shared" ref="BA37:BA46" si="21">IF(AZ37="",0,COUNTIF($I$23:$I$111,AZ37)+COUNTIF($R$23:$R$111,AZ37)+COUNTIF($AA$23:$AA$111,AZ37)+COUNTIF($AJ$23:$AJ$111,AZ37)+COUNTIF($AQ$23:$AQ$111,AZ37)+COUNTIF($AZ$23:$AZ$111,AZ37)+COUNTIF($BI$23:$BI$111,AZ37)+COUNTIF($BR$23:$BR$111,AZ37)+COUNTIF($CA$23:$CA$111,AZ37)+COUNTIF($CJ$23:$CJ$111,AZ37)+COUNTIF($CS$23:$CS$111,AZ37)+COUNTIF($DB$23:$DB$111,AZ37)+COUNTIF($DK$23:$DK$111,AZ37)+COUNTIF($DT$23:$DT$111,AZ37)+COUNTIF($EC$23:$EC$111,AZ37)+COUNTIF($EL$23:$EL$111,AZ37)-1)</f>
        <v>1</v>
      </c>
      <c r="BB37" s="98"/>
      <c r="BC37" s="55"/>
      <c r="BD37" s="329" t="s">
        <v>271</v>
      </c>
      <c r="BE37" s="61" t="s">
        <v>241</v>
      </c>
      <c r="BF37" s="61">
        <v>0</v>
      </c>
      <c r="BG37" s="61">
        <v>1</v>
      </c>
      <c r="BH37" s="62" t="s">
        <v>72</v>
      </c>
      <c r="BI37" s="14" t="str">
        <f>IF(BG37=99,"", CONCATENATE("10.0.",TEXT(((BITWISE_AND('IP Address (no mod)'!$D$20,BH$19)/4)+BG37*8),"0"),".",TEXT((BITWISE_AND('IP Address (no mod)'!$D$21,BH$19)*64)+BD$23*10+BF37,"0")))</f>
        <v>10.0.9.128</v>
      </c>
      <c r="BJ37" s="100">
        <f t="shared" ref="BJ37:BJ46" si="22">IF(BI37="",0,COUNTIF($I$23:$I$111,BI37)+COUNTIF($R$23:$R$111,BI37)+COUNTIF($AA$23:$AA$111,BI37)+COUNTIF($AJ$23:$AJ$111,BI37)+COUNTIF($AQ$23:$AQ$111,BI37)+COUNTIF($AZ$23:$AZ$111,BI37)+COUNTIF($BI$23:$BI$111,BI37)+COUNTIF($BR$23:$BR$111,BI37)+COUNTIF($CA$23:$CA$111,BI37)+COUNTIF($CJ$23:$CJ$111,BI37)+COUNTIF($CS$23:$CS$111,BI37)+COUNTIF($DB$23:$DB$111,BI37)+COUNTIF($DK$23:$DK$111,BI37)+COUNTIF($DT$23:$DT$111,BI37)+COUNTIF($EC$23:$EC$111,BI37)+COUNTIF($EL$23:$EL$111,BI37)-1)</f>
        <v>1</v>
      </c>
      <c r="BK37" s="98"/>
      <c r="BL37" s="55"/>
      <c r="BM37" s="329" t="s">
        <v>271</v>
      </c>
      <c r="BN37" s="61" t="s">
        <v>241</v>
      </c>
      <c r="BO37" s="61">
        <v>0</v>
      </c>
      <c r="BP37" s="61">
        <v>1</v>
      </c>
      <c r="BQ37" s="64" t="s">
        <v>72</v>
      </c>
      <c r="BR37" s="14" t="str">
        <f>IF(BP37=99,"", CONCATENATE("10.0.",TEXT(((BITWISE_AND('IP Address (no mod)'!$D$20,BQ$19)/4)+BP37*8),"0"),".",TEXT((BITWISE_AND('IP Address (no mod)'!$D$21,BQ$19)*64)+BM$23*10+BO37,"0")))</f>
        <v>10.0.9.192</v>
      </c>
      <c r="BS37" s="100">
        <f t="shared" ref="BS37:BS46" si="23">IF(BR37="",0,COUNTIF($I$23:$I$111,BR37)+COUNTIF($R$23:$R$111,BR37)+COUNTIF($AA$23:$AA$111,BR37)+COUNTIF($AJ$23:$AJ$111,BR37)+COUNTIF($AQ$23:$AQ$111,BR37)+COUNTIF($AZ$23:$AZ$111,BR37)+COUNTIF($BI$23:$BI$111,BR37)+COUNTIF($BR$23:$BR$111,BR37)+COUNTIF($CA$23:$CA$111,BR37)+COUNTIF($CJ$23:$CJ$111,BR37)+COUNTIF($CS$23:$CS$111,BR37)+COUNTIF($DB$23:$DB$111,BR37)+COUNTIF($DK$23:$DK$111,BR37)+COUNTIF($DT$23:$DT$111,BR37)+COUNTIF($EC$23:$EC$111,BR37)+COUNTIF($EL$23:$EL$111,BR37)-1)</f>
        <v>1</v>
      </c>
      <c r="BT37" s="98"/>
      <c r="BU37" s="55"/>
      <c r="BV37" s="329" t="s">
        <v>271</v>
      </c>
      <c r="BW37" s="61" t="s">
        <v>241</v>
      </c>
      <c r="BX37" s="61">
        <v>0</v>
      </c>
      <c r="BY37" s="61">
        <v>1</v>
      </c>
      <c r="BZ37" s="62" t="s">
        <v>72</v>
      </c>
      <c r="CA37" s="14" t="str">
        <f>IF(BY37=99,"", CONCATENATE("10.0.",TEXT(((BITWISE_AND('IP Address (no mod)'!$D$20,BZ$19)/4)+BY37*8),"0"),".",TEXT((BITWISE_AND('IP Address (no mod)'!$D$21,BZ$19)*64)+BV$23*10+BX37,"0")))</f>
        <v>10.0.10.0</v>
      </c>
      <c r="CB37" s="100">
        <f t="shared" ref="CB37:CB46" si="24">IF(CA37="",0,COUNTIF($I$23:$I$111,CA37)+COUNTIF($R$23:$R$111,CA37)+COUNTIF($AA$23:$AA$111,CA37)+COUNTIF($AJ$23:$AJ$111,CA37)+COUNTIF($AQ$23:$AQ$111,CA37)+COUNTIF($AZ$23:$AZ$111,CA37)+COUNTIF($BI$23:$BI$111,CA37)+COUNTIF($BR$23:$BR$111,CA37)+COUNTIF($CA$23:$CA$111,CA37)+COUNTIF($CJ$23:$CJ$111,CA37)+COUNTIF($CS$23:$CS$111,CA37)+COUNTIF($DB$23:$DB$111,CA37)+COUNTIF($DK$23:$DK$111,CA37)+COUNTIF($DT$23:$DT$111,CA37)+COUNTIF($EC$23:$EC$111,CA37)+COUNTIF($EL$23:$EL$111,CA37)-1)</f>
        <v>1</v>
      </c>
      <c r="CC37" s="98"/>
      <c r="CD37" s="55"/>
      <c r="CE37" s="329" t="s">
        <v>271</v>
      </c>
      <c r="CF37" s="61" t="s">
        <v>241</v>
      </c>
      <c r="CG37" s="61">
        <v>0</v>
      </c>
      <c r="CH37" s="61">
        <v>1</v>
      </c>
      <c r="CI37" s="64" t="s">
        <v>72</v>
      </c>
      <c r="CJ37" s="14" t="str">
        <f>IF(CH37=99,"", CONCATENATE("10.0.",TEXT(((BITWISE_AND('IP Address (no mod)'!$D$20,CI$19)/4)+CH37*8),"0"),".",TEXT((BITWISE_AND('IP Address (no mod)'!$D$21,CI$19)*64)+CE$23*10+CG37,"0")))</f>
        <v>10.0.10.64</v>
      </c>
      <c r="CK37" s="100">
        <f t="shared" ref="CK37:CK46" si="25">IF(CJ37="",0,COUNTIF($I$23:$I$111,CJ37)+COUNTIF($R$23:$R$111,CJ37)+COUNTIF($AA$23:$AA$111,CJ37)+COUNTIF($AJ$23:$AJ$111,CJ37)+COUNTIF($AQ$23:$AQ$111,CJ37)+COUNTIF($AZ$23:$AZ$111,CJ37)+COUNTIF($BI$23:$BI$111,CJ37)+COUNTIF($BR$23:$BR$111,CJ37)+COUNTIF($CA$23:$CA$111,CJ37)+COUNTIF($CJ$23:$CJ$111,CJ37)+COUNTIF($CS$23:$CS$111,CJ37)+COUNTIF($DB$23:$DB$111,CJ37)+COUNTIF($DK$23:$DK$111,CJ37)+COUNTIF($DT$23:$DT$111,CJ37)+COUNTIF($EC$23:$EC$111,CJ37)+COUNTIF($EL$23:$EL$111,CJ37)-1)</f>
        <v>1</v>
      </c>
      <c r="CL37" s="98"/>
      <c r="CM37" s="55"/>
      <c r="CN37" s="329" t="s">
        <v>271</v>
      </c>
      <c r="CO37" s="61" t="s">
        <v>241</v>
      </c>
      <c r="CP37" s="61">
        <v>0</v>
      </c>
      <c r="CQ37" s="61">
        <v>1</v>
      </c>
      <c r="CR37" s="62" t="s">
        <v>72</v>
      </c>
      <c r="CS37" s="14" t="str">
        <f>IF(CQ37=99,"", CONCATENATE("10.0.",TEXT(((BITWISE_AND('IP Address (no mod)'!$D$20,CR$19)/4)+CQ37*8),"0"),".",TEXT((BITWISE_AND('IP Address (no mod)'!$D$21,CR$19)*64)+CN$23*10+CP37,"0")))</f>
        <v>10.0.10.128</v>
      </c>
      <c r="CT37" s="100">
        <f t="shared" ref="CT37:CT46" si="26">IF(CS37="",0,COUNTIF($I$23:$I$111,CS37)+COUNTIF($R$23:$R$111,CS37)+COUNTIF($AA$23:$AA$111,CS37)+COUNTIF($AJ$23:$AJ$111,CS37)+COUNTIF($AQ$23:$AQ$111,CS37)+COUNTIF($AZ$23:$AZ$111,CS37)+COUNTIF($BI$23:$BI$111,CS37)+COUNTIF($BR$23:$BR$111,CS37)+COUNTIF($CA$23:$CA$111,CS37)+COUNTIF($CJ$23:$CJ$111,CS37)+COUNTIF($CS$23:$CS$111,CS37)+COUNTIF($DB$23:$DB$111,CS37)+COUNTIF($DK$23:$DK$111,CS37)+COUNTIF($DT$23:$DT$111,CS37)+COUNTIF($EC$23:$EC$111,CS37)+COUNTIF($EL$23:$EL$111,CS37)-1)</f>
        <v>1</v>
      </c>
      <c r="CU37" s="98"/>
      <c r="CV37" s="55"/>
      <c r="CW37" s="329" t="s">
        <v>271</v>
      </c>
      <c r="CX37" s="61" t="s">
        <v>241</v>
      </c>
      <c r="CY37" s="61">
        <v>0</v>
      </c>
      <c r="CZ37" s="61">
        <v>1</v>
      </c>
      <c r="DA37" s="64" t="s">
        <v>72</v>
      </c>
      <c r="DB37" s="14" t="str">
        <f>IF(CZ37=99,"", CONCATENATE("10.0.",TEXT(((BITWISE_AND('IP Address (no mod)'!$D$20,DA$19)/4)+CZ37*8),"0"),".",TEXT((BITWISE_AND('IP Address (no mod)'!$D$21,DA$19)*64)+CW$23*10+CY37,"0")))</f>
        <v>10.0.10.192</v>
      </c>
      <c r="DC37" s="100">
        <f t="shared" ref="DC37:DC46" si="27">IF(DB37="",0,COUNTIF($I$23:$I$111,DB37)+COUNTIF($R$23:$R$111,DB37)+COUNTIF($AA$23:$AA$111,DB37)+COUNTIF($AJ$23:$AJ$111,DB37)+COUNTIF($AQ$23:$AQ$111,DB37)+COUNTIF($AZ$23:$AZ$111,DB37)+COUNTIF($BI$23:$BI$111,DB37)+COUNTIF($BR$23:$BR$111,DB37)+COUNTIF($CA$23:$CA$111,DB37)+COUNTIF($CJ$23:$CJ$111,DB37)+COUNTIF($CS$23:$CS$111,DB37)+COUNTIF($DB$23:$DB$111,DB37)+COUNTIF($DK$23:$DK$111,DB37)+COUNTIF($DT$23:$DT$111,DB37)+COUNTIF($EC$23:$EC$111,DB37)+COUNTIF($EL$23:$EL$111,DB37)-1)</f>
        <v>1</v>
      </c>
      <c r="DD37" s="98"/>
      <c r="DE37" s="55"/>
      <c r="DF37" s="329" t="s">
        <v>271</v>
      </c>
      <c r="DG37" s="61" t="s">
        <v>241</v>
      </c>
      <c r="DH37" s="61">
        <v>0</v>
      </c>
      <c r="DI37" s="61">
        <v>1</v>
      </c>
      <c r="DJ37" s="62" t="s">
        <v>72</v>
      </c>
      <c r="DK37" s="14" t="str">
        <f>IF(DI37=99,"", CONCATENATE("10.0.",TEXT(((BITWISE_AND('IP Address (no mod)'!$D$20,DJ$19)/4)+DI37*8),"0"),".",TEXT((BITWISE_AND('IP Address (no mod)'!$D$21,DJ$19)*64)+DF$23*10+DH37,"0")))</f>
        <v>10.0.11.0</v>
      </c>
      <c r="DL37" s="100">
        <f t="shared" ref="DL37:DL46" si="28">IF(DK37="",0,COUNTIF($I$23:$I$111,DK37)+COUNTIF($R$23:$R$111,DK37)+COUNTIF($AA$23:$AA$111,DK37)+COUNTIF($AJ$23:$AJ$111,DK37)+COUNTIF($AQ$23:$AQ$111,DK37)+COUNTIF($AZ$23:$AZ$111,DK37)+COUNTIF($BI$23:$BI$111,DK37)+COUNTIF($BR$23:$BR$111,DK37)+COUNTIF($CA$23:$CA$111,DK37)+COUNTIF($CJ$23:$CJ$111,DK37)+COUNTIF($CS$23:$CS$111,DK37)+COUNTIF($DB$23:$DB$111,DK37)+COUNTIF($DK$23:$DK$111,DK37)+COUNTIF($DT$23:$DT$111,DK37)+COUNTIF($EC$23:$EC$111,DK37)+COUNTIF($EL$23:$EL$111,DK37)-1)</f>
        <v>1</v>
      </c>
      <c r="DM37" s="98"/>
      <c r="DN37" s="55"/>
      <c r="DO37" s="329" t="s">
        <v>271</v>
      </c>
      <c r="DP37" s="61" t="s">
        <v>241</v>
      </c>
      <c r="DQ37" s="61">
        <v>0</v>
      </c>
      <c r="DR37" s="61">
        <v>1</v>
      </c>
      <c r="DS37" s="64" t="s">
        <v>72</v>
      </c>
      <c r="DT37" s="14" t="str">
        <f>IF(DR37=99,"", CONCATENATE("10.0.",TEXT(((BITWISE_AND('IP Address (no mod)'!$D$20,DS$19)/4)+DR37*8),"0"),".",TEXT((BITWISE_AND('IP Address (no mod)'!$D$21,DS$19)*64)+DO$23*10+DQ37,"0")))</f>
        <v>10.0.11.64</v>
      </c>
      <c r="DU37" s="100">
        <f t="shared" ref="DU37:DU46" si="29">IF(DT37="",0,COUNTIF($I$23:$I$111,DT37)+COUNTIF($R$23:$R$111,DT37)+COUNTIF($AA$23:$AA$111,DT37)+COUNTIF($AJ$23:$AJ$111,DT37)+COUNTIF($AQ$23:$AQ$111,DT37)+COUNTIF($AZ$23:$AZ$111,DT37)+COUNTIF($BI$23:$BI$111,DT37)+COUNTIF($BR$23:$BR$111,DT37)+COUNTIF($CA$23:$CA$111,DT37)+COUNTIF($CJ$23:$CJ$111,DT37)+COUNTIF($CS$23:$CS$111,DT37)+COUNTIF($DB$23:$DB$111,DT37)+COUNTIF($DK$23:$DK$111,DT37)+COUNTIF($DT$23:$DT$111,DT37)+COUNTIF($EC$23:$EC$111,DT37)+COUNTIF($EL$23:$EL$111,DT37)-1)</f>
        <v>1</v>
      </c>
      <c r="DV37" s="98"/>
      <c r="DW37" s="55"/>
      <c r="DX37" s="329" t="s">
        <v>271</v>
      </c>
      <c r="DY37" s="61" t="s">
        <v>241</v>
      </c>
      <c r="DZ37" s="61">
        <v>0</v>
      </c>
      <c r="EA37" s="61">
        <v>1</v>
      </c>
      <c r="EB37" s="62" t="s">
        <v>72</v>
      </c>
      <c r="EC37" s="14" t="str">
        <f>IF(EA37=99,"", CONCATENATE("10.0.",TEXT(((BITWISE_AND('IP Address (no mod)'!$D$20,EB$19)/4)+EA37*8),"0"),".",TEXT((BITWISE_AND('IP Address (no mod)'!$D$21,EB$19)*64)+DX$23*10+DZ37,"0")))</f>
        <v>10.0.11.128</v>
      </c>
      <c r="ED37" s="100">
        <f t="shared" ref="ED37:ED46" si="30">IF(EC37="",0,COUNTIF($I$23:$I$111,EC37)+COUNTIF($R$23:$R$111,EC37)+COUNTIF($AA$23:$AA$111,EC37)+COUNTIF($AJ$23:$AJ$111,EC37)+COUNTIF($AQ$23:$AQ$111,EC37)+COUNTIF($AZ$23:$AZ$111,EC37)+COUNTIF($BI$23:$BI$111,EC37)+COUNTIF($BR$23:$BR$111,EC37)+COUNTIF($CA$23:$CA$111,EC37)+COUNTIF($CJ$23:$CJ$111,EC37)+COUNTIF($CS$23:$CS$111,EC37)+COUNTIF($DB$23:$DB$111,EC37)+COUNTIF($DK$23:$DK$111,EC37)+COUNTIF($DT$23:$DT$111,EC37)+COUNTIF($EC$23:$EC$111,EC37)+COUNTIF($EL$23:$EL$111,EC37)-1)</f>
        <v>1</v>
      </c>
      <c r="EE37" s="98"/>
      <c r="EF37" s="55"/>
      <c r="EG37" s="329" t="s">
        <v>271</v>
      </c>
      <c r="EH37" s="61" t="s">
        <v>241</v>
      </c>
      <c r="EI37" s="61">
        <v>0</v>
      </c>
      <c r="EJ37" s="61">
        <v>1</v>
      </c>
      <c r="EK37" s="62" t="s">
        <v>72</v>
      </c>
      <c r="EL37" s="14" t="str">
        <f>CONCATENATE("10.0.",TEXT(((BITWISE_AND('IP Address (no mod)'!$D$20,EK$19)/4)+EJ37*8),"0"),".",TEXT((BITWISE_AND('IP Address (no mod)'!$D$21,EK$19)*64)+EG$23*10+EI37,"0"))</f>
        <v>10.0.11.192</v>
      </c>
      <c r="EM37" s="100">
        <f t="shared" si="16"/>
        <v>1</v>
      </c>
      <c r="EN37" s="95"/>
    </row>
    <row r="38" spans="1:144" ht="15" customHeight="1" thickBot="1">
      <c r="A38" s="319"/>
      <c r="B38" s="93"/>
      <c r="C38" s="55"/>
      <c r="D38" s="330"/>
      <c r="E38" s="63" t="s">
        <v>243</v>
      </c>
      <c r="F38" s="63">
        <v>1</v>
      </c>
      <c r="G38" s="63">
        <v>2</v>
      </c>
      <c r="H38" s="64" t="s">
        <v>274</v>
      </c>
      <c r="I38" s="3" t="str">
        <f>IF(G38=99,"", CONCATENATE("10.0.",TEXT(((BITWISE_AND('IP Address (no mod)'!$D$20,H$19)/4)+G38*8),"0"),".",TEXT((BITWISE_AND('IP Address (no mod)'!$D$21,H$19)*64)+D$36*10+F38,"0")))</f>
        <v>10.0.16.75</v>
      </c>
      <c r="J38" s="100">
        <f t="shared" si="17"/>
        <v>0</v>
      </c>
      <c r="K38" s="98"/>
      <c r="L38" s="55"/>
      <c r="M38" s="330"/>
      <c r="N38" s="63" t="s">
        <v>243</v>
      </c>
      <c r="O38" s="63">
        <v>1</v>
      </c>
      <c r="P38" s="63">
        <v>2</v>
      </c>
      <c r="Q38" s="64" t="s">
        <v>275</v>
      </c>
      <c r="R38" s="3" t="str">
        <f>IF(P38=99,"", CONCATENATE("10.0.",TEXT(((BITWISE_AND('IP Address (no mod)'!$D$20,Q$19)/4)+P38*8),"0"),".",TEXT((BITWISE_AND('IP Address (no mod)'!$D$21,Q$19)*64)+M$36*10+O38,"0")))</f>
        <v>10.0.16.139</v>
      </c>
      <c r="S38" s="100">
        <f t="shared" si="18"/>
        <v>0</v>
      </c>
      <c r="T38" s="98"/>
      <c r="U38" s="55"/>
      <c r="V38" s="330"/>
      <c r="W38" s="63" t="s">
        <v>243</v>
      </c>
      <c r="X38" s="63">
        <v>1</v>
      </c>
      <c r="Y38" s="63">
        <v>2</v>
      </c>
      <c r="Z38" s="64" t="s">
        <v>275</v>
      </c>
      <c r="AA38" s="3" t="str">
        <f>IF(Y38=99,"", CONCATENATE("10.0.",TEXT(((BITWISE_AND('IP Address (no mod)'!$D$20,Z$19)/4)+Y38*8),"0"),".",TEXT((BITWISE_AND('IP Address (no mod)'!$D$21,Z$19)*64)+V$36*10+X38,"0")))</f>
        <v>10.0.16.203</v>
      </c>
      <c r="AB38" s="100">
        <f t="shared" si="19"/>
        <v>0</v>
      </c>
      <c r="AC38" s="98"/>
      <c r="AD38" s="55"/>
      <c r="AE38" s="330"/>
      <c r="AF38" s="63" t="s">
        <v>243</v>
      </c>
      <c r="AG38" s="63">
        <v>1</v>
      </c>
      <c r="AH38" s="63">
        <v>2</v>
      </c>
      <c r="AI38" s="64" t="s">
        <v>275</v>
      </c>
      <c r="AJ38" s="3" t="str">
        <f>IF(AH38=99,"", CONCATENATE("10.0.",TEXT(((BITWISE_AND('IP Address (no mod)'!$D$20,AI$19)/4)+AH38*8),"0"),".",TEXT((BITWISE_AND('IP Address (no mod)'!$D$21,AI$19)*64)+AE$36*10+AG38,"0")))</f>
        <v>10.0.21.139</v>
      </c>
      <c r="AK38" s="100">
        <f t="shared" si="20"/>
        <v>0</v>
      </c>
      <c r="AL38" s="331"/>
      <c r="AM38" s="9" t="s">
        <v>276</v>
      </c>
      <c r="AN38" s="6"/>
      <c r="AO38" s="122">
        <v>99</v>
      </c>
      <c r="AP38" s="123"/>
      <c r="AQ38" s="124"/>
      <c r="AR38" s="59"/>
      <c r="AS38" s="98"/>
      <c r="AT38" s="55"/>
      <c r="AU38" s="330"/>
      <c r="AV38" s="63" t="s">
        <v>243</v>
      </c>
      <c r="AW38" s="63">
        <v>1</v>
      </c>
      <c r="AX38" s="63">
        <v>2</v>
      </c>
      <c r="AY38" s="64" t="s">
        <v>275</v>
      </c>
      <c r="AZ38" s="3" t="str">
        <f>IF(AX38=99,"", CONCATENATE("10.0.",TEXT(((BITWISE_AND('IP Address (no mod)'!$D$20,AY$19)/4)+AX38*8),"0"),".",TEXT((BITWISE_AND('IP Address (no mod)'!$D$21,AY$19)*64)+AU$36*10+AW38,"0")))</f>
        <v>10.0.17.75</v>
      </c>
      <c r="BA38" s="100">
        <f t="shared" si="21"/>
        <v>0</v>
      </c>
      <c r="BB38" s="98"/>
      <c r="BC38" s="55"/>
      <c r="BD38" s="330"/>
      <c r="BE38" s="63" t="s">
        <v>243</v>
      </c>
      <c r="BF38" s="63">
        <v>1</v>
      </c>
      <c r="BG38" s="63">
        <v>2</v>
      </c>
      <c r="BH38" s="64" t="s">
        <v>275</v>
      </c>
      <c r="BI38" s="3" t="str">
        <f>IF(BG38=99,"", CONCATENATE("10.0.",TEXT(((BITWISE_AND('IP Address (no mod)'!$D$20,BH$19)/4)+BG38*8),"0"),".",TEXT((BITWISE_AND('IP Address (no mod)'!$D$21,BH$19)*64)+BD$36*10+BF38,"0")))</f>
        <v>10.0.17.139</v>
      </c>
      <c r="BJ38" s="100">
        <f t="shared" si="22"/>
        <v>0</v>
      </c>
      <c r="BK38" s="98"/>
      <c r="BL38" s="55"/>
      <c r="BM38" s="330"/>
      <c r="BN38" s="63" t="s">
        <v>243</v>
      </c>
      <c r="BO38" s="63">
        <v>1</v>
      </c>
      <c r="BP38" s="63">
        <v>2</v>
      </c>
      <c r="BQ38" s="64" t="s">
        <v>275</v>
      </c>
      <c r="BR38" s="3" t="str">
        <f>IF(BP38=99,"", CONCATENATE("10.0.",TEXT(((BITWISE_AND('IP Address (no mod)'!$D$20,BQ$19)/4)+BP38*8),"0"),".",TEXT((BITWISE_AND('IP Address (no mod)'!$D$21,BQ$19)*64)+BM$36*10+BO38,"0")))</f>
        <v>10.0.17.203</v>
      </c>
      <c r="BS38" s="100">
        <f t="shared" si="23"/>
        <v>0</v>
      </c>
      <c r="BT38" s="98"/>
      <c r="BU38" s="55"/>
      <c r="BV38" s="330"/>
      <c r="BW38" s="63" t="s">
        <v>243</v>
      </c>
      <c r="BX38" s="63">
        <v>1</v>
      </c>
      <c r="BY38" s="63">
        <v>2</v>
      </c>
      <c r="BZ38" s="64" t="s">
        <v>275</v>
      </c>
      <c r="CA38" s="3" t="str">
        <f>IF(BY38=99,"", CONCATENATE("10.0.",TEXT(((BITWISE_AND('IP Address (no mod)'!$D$20,BZ$19)/4)+BY38*8),"0"),".",TEXT((BITWISE_AND('IP Address (no mod)'!$D$21,BZ$19)*64)+BV$36*10+BX38,"0")))</f>
        <v>10.0.18.11</v>
      </c>
      <c r="CB38" s="100">
        <f t="shared" si="24"/>
        <v>0</v>
      </c>
      <c r="CC38" s="98"/>
      <c r="CD38" s="55"/>
      <c r="CE38" s="330"/>
      <c r="CF38" s="63" t="s">
        <v>243</v>
      </c>
      <c r="CG38" s="63">
        <v>1</v>
      </c>
      <c r="CH38" s="63">
        <v>2</v>
      </c>
      <c r="CI38" s="64" t="s">
        <v>275</v>
      </c>
      <c r="CJ38" s="3" t="str">
        <f>IF(CH38=99,"", CONCATENATE("10.0.",TEXT(((BITWISE_AND('IP Address (no mod)'!$D$20,CI$19)/4)+CH38*8),"0"),".",TEXT((BITWISE_AND('IP Address (no mod)'!$D$21,CI$19)*64)+CE$36*10+CG38,"0")))</f>
        <v>10.0.18.75</v>
      </c>
      <c r="CK38" s="100">
        <f t="shared" si="25"/>
        <v>0</v>
      </c>
      <c r="CL38" s="98"/>
      <c r="CM38" s="55"/>
      <c r="CN38" s="330"/>
      <c r="CO38" s="63" t="s">
        <v>243</v>
      </c>
      <c r="CP38" s="63">
        <v>1</v>
      </c>
      <c r="CQ38" s="63">
        <v>2</v>
      </c>
      <c r="CR38" s="64" t="s">
        <v>275</v>
      </c>
      <c r="CS38" s="3" t="str">
        <f>IF(CQ38=99,"", CONCATENATE("10.0.",TEXT(((BITWISE_AND('IP Address (no mod)'!$D$20,CR$19)/4)+CQ38*8),"0"),".",TEXT((BITWISE_AND('IP Address (no mod)'!$D$21,CR$19)*64)+CN$36*10+CP38,"0")))</f>
        <v>10.0.18.139</v>
      </c>
      <c r="CT38" s="100">
        <f t="shared" si="26"/>
        <v>0</v>
      </c>
      <c r="CU38" s="98"/>
      <c r="CV38" s="55"/>
      <c r="CW38" s="330"/>
      <c r="CX38" s="63" t="s">
        <v>243</v>
      </c>
      <c r="CY38" s="63">
        <v>1</v>
      </c>
      <c r="CZ38" s="63">
        <v>2</v>
      </c>
      <c r="DA38" s="64" t="s">
        <v>275</v>
      </c>
      <c r="DB38" s="3" t="str">
        <f>IF(CZ38=99,"", CONCATENATE("10.0.",TEXT(((BITWISE_AND('IP Address (no mod)'!$D$20,DA$19)/4)+CZ38*8),"0"),".",TEXT((BITWISE_AND('IP Address (no mod)'!$D$21,DA$19)*64)+CW$36*10+CY38,"0")))</f>
        <v>10.0.18.203</v>
      </c>
      <c r="DC38" s="100">
        <f t="shared" si="27"/>
        <v>0</v>
      </c>
      <c r="DD38" s="98"/>
      <c r="DE38" s="55"/>
      <c r="DF38" s="330"/>
      <c r="DG38" s="63" t="s">
        <v>243</v>
      </c>
      <c r="DH38" s="63">
        <v>1</v>
      </c>
      <c r="DI38" s="63">
        <v>2</v>
      </c>
      <c r="DJ38" s="64" t="s">
        <v>275</v>
      </c>
      <c r="DK38" s="3" t="str">
        <f>IF(DI38=99,"", CONCATENATE("10.0.",TEXT(((BITWISE_AND('IP Address (no mod)'!$D$20,DJ$19)/4)+DI38*8),"0"),".",TEXT((BITWISE_AND('IP Address (no mod)'!$D$21,DJ$19)*64)+DF$36*10+DH38,"0")))</f>
        <v>10.0.19.11</v>
      </c>
      <c r="DL38" s="100">
        <f t="shared" si="28"/>
        <v>0</v>
      </c>
      <c r="DM38" s="98"/>
      <c r="DN38" s="55"/>
      <c r="DO38" s="330"/>
      <c r="DP38" s="63" t="s">
        <v>243</v>
      </c>
      <c r="DQ38" s="63">
        <v>1</v>
      </c>
      <c r="DR38" s="63">
        <v>2</v>
      </c>
      <c r="DS38" s="64" t="s">
        <v>275</v>
      </c>
      <c r="DT38" s="3" t="str">
        <f>IF(DR38=99,"", CONCATENATE("10.0.",TEXT(((BITWISE_AND('IP Address (no mod)'!$D$20,DS$19)/4)+DR38*8),"0"),".",TEXT((BITWISE_AND('IP Address (no mod)'!$D$21,DS$19)*64)+DO$36*10+DQ38,"0")))</f>
        <v>10.0.19.75</v>
      </c>
      <c r="DU38" s="100">
        <f t="shared" si="29"/>
        <v>0</v>
      </c>
      <c r="DV38" s="98"/>
      <c r="DW38" s="55"/>
      <c r="DX38" s="330"/>
      <c r="DY38" s="63" t="s">
        <v>243</v>
      </c>
      <c r="DZ38" s="63">
        <v>1</v>
      </c>
      <c r="EA38" s="63">
        <v>2</v>
      </c>
      <c r="EB38" s="64" t="s">
        <v>275</v>
      </c>
      <c r="EC38" s="3" t="str">
        <f>IF(EA38=99,"", CONCATENATE("10.0.",TEXT(((BITWISE_AND('IP Address (no mod)'!$D$20,EB$19)/4)+EA38*8),"0"),".",TEXT((BITWISE_AND('IP Address (no mod)'!$D$21,EB$19)*64)+DX$36*10+DZ38,"0")))</f>
        <v>10.0.19.139</v>
      </c>
      <c r="ED38" s="100">
        <f t="shared" si="30"/>
        <v>0</v>
      </c>
      <c r="EE38" s="98"/>
      <c r="EF38" s="55"/>
      <c r="EG38" s="330"/>
      <c r="EH38" s="63" t="s">
        <v>243</v>
      </c>
      <c r="EI38" s="63">
        <v>1</v>
      </c>
      <c r="EJ38" s="63">
        <v>2</v>
      </c>
      <c r="EK38" s="64" t="s">
        <v>275</v>
      </c>
      <c r="EL38" s="3" t="str">
        <f>CONCATENATE("10.0.",TEXT(((BITWISE_AND('IP Address (no mod)'!$D$20,EK$19)/4)+EJ38*8),"0"),".",TEXT((BITWISE_AND('IP Address (no mod)'!$D$21,EK$19)*64)+EG$36*10+EI38,"0"))</f>
        <v>10.0.19.203</v>
      </c>
      <c r="EM38" s="100">
        <f t="shared" si="16"/>
        <v>0</v>
      </c>
      <c r="EN38" s="95"/>
    </row>
    <row r="39" spans="1:144">
      <c r="A39" s="319"/>
      <c r="B39" s="93"/>
      <c r="C39" s="55"/>
      <c r="D39" s="330"/>
      <c r="E39" s="63" t="s">
        <v>245</v>
      </c>
      <c r="F39" s="63">
        <v>2</v>
      </c>
      <c r="G39" s="63">
        <v>2</v>
      </c>
      <c r="H39" s="64" t="s">
        <v>277</v>
      </c>
      <c r="I39" s="3" t="str">
        <f>IF(G39=99,"", CONCATENATE("10.0.",TEXT(((BITWISE_AND('IP Address (no mod)'!$D$20,H$19)/4)+G39*8),"0"),".",TEXT((BITWISE_AND('IP Address (no mod)'!$D$21,H$19)*64)+D$36*10+F39,"0")))</f>
        <v>10.0.16.76</v>
      </c>
      <c r="J39" s="100">
        <f t="shared" si="17"/>
        <v>0</v>
      </c>
      <c r="K39" s="98"/>
      <c r="L39" s="55"/>
      <c r="M39" s="330"/>
      <c r="N39" s="63" t="s">
        <v>245</v>
      </c>
      <c r="O39" s="63">
        <v>2</v>
      </c>
      <c r="P39" s="63">
        <v>2</v>
      </c>
      <c r="Q39" s="64" t="s">
        <v>277</v>
      </c>
      <c r="R39" s="3" t="str">
        <f>IF(P39=99,"", CONCATENATE("10.0.",TEXT(((BITWISE_AND('IP Address (no mod)'!$D$20,Q$19)/4)+P39*8),"0"),".",TEXT((BITWISE_AND('IP Address (no mod)'!$D$21,Q$19)*64)+M$36*10+O39,"0")))</f>
        <v>10.0.16.140</v>
      </c>
      <c r="S39" s="100">
        <f t="shared" si="18"/>
        <v>0</v>
      </c>
      <c r="T39" s="98"/>
      <c r="U39" s="55"/>
      <c r="V39" s="330"/>
      <c r="W39" s="63" t="s">
        <v>245</v>
      </c>
      <c r="X39" s="63">
        <v>2</v>
      </c>
      <c r="Y39" s="63">
        <v>99</v>
      </c>
      <c r="Z39" s="1"/>
      <c r="AA39" s="3" t="str">
        <f>IF(Y39=99,"", CONCATENATE("10.0.",TEXT(((BITWISE_AND('IP Address (no mod)'!$D$20,Z$19)/4)+Y39*8),"0"),".",TEXT((BITWISE_AND('IP Address (no mod)'!$D$21,Z$19)*64)+V$36*10+X39,"0")))</f>
        <v/>
      </c>
      <c r="AB39" s="100">
        <f t="shared" si="19"/>
        <v>0</v>
      </c>
      <c r="AC39" s="98"/>
      <c r="AD39" s="55"/>
      <c r="AE39" s="330"/>
      <c r="AF39" s="63" t="s">
        <v>245</v>
      </c>
      <c r="AG39" s="63">
        <v>2</v>
      </c>
      <c r="AH39" s="63">
        <v>2</v>
      </c>
      <c r="AI39" s="64" t="s">
        <v>277</v>
      </c>
      <c r="AJ39" s="3" t="str">
        <f>IF(AH39=99,"", CONCATENATE("10.0.",TEXT(((BITWISE_AND('IP Address (no mod)'!$D$20,AI$19)/4)+AH39*8),"0"),".",TEXT((BITWISE_AND('IP Address (no mod)'!$D$21,AI$19)*64)+AE$36*10+AG39,"0")))</f>
        <v>10.0.21.140</v>
      </c>
      <c r="AK39" s="100">
        <f t="shared" si="20"/>
        <v>0</v>
      </c>
      <c r="AL39" s="81"/>
      <c r="AM39" s="66"/>
      <c r="AN39" s="66"/>
      <c r="AO39" s="66"/>
      <c r="AP39" s="66"/>
      <c r="AQ39" s="66"/>
      <c r="AR39" s="59"/>
      <c r="AS39" s="98"/>
      <c r="AT39" s="55"/>
      <c r="AU39" s="330"/>
      <c r="AV39" s="63" t="s">
        <v>245</v>
      </c>
      <c r="AW39" s="63">
        <v>2</v>
      </c>
      <c r="AX39" s="63">
        <v>99</v>
      </c>
      <c r="AY39" s="1"/>
      <c r="AZ39" s="3" t="str">
        <f>IF(AX39=99,"", CONCATENATE("10.0.",TEXT(((BITWISE_AND('IP Address (no mod)'!$D$20,AY$19)/4)+AX39*8),"0"),".",TEXT((BITWISE_AND('IP Address (no mod)'!$D$21,AY$19)*64)+AU$36*10+AW39,"0")))</f>
        <v/>
      </c>
      <c r="BA39" s="100">
        <f t="shared" si="21"/>
        <v>0</v>
      </c>
      <c r="BB39" s="98"/>
      <c r="BC39" s="55"/>
      <c r="BD39" s="330"/>
      <c r="BE39" s="63" t="s">
        <v>245</v>
      </c>
      <c r="BF39" s="63">
        <v>2</v>
      </c>
      <c r="BG39" s="63">
        <v>2</v>
      </c>
      <c r="BH39" s="64" t="s">
        <v>277</v>
      </c>
      <c r="BI39" s="3" t="str">
        <f>IF(BG39=99,"", CONCATENATE("10.0.",TEXT(((BITWISE_AND('IP Address (no mod)'!$D$20,BH$19)/4)+BG39*8),"0"),".",TEXT((BITWISE_AND('IP Address (no mod)'!$D$21,BH$19)*64)+BD$36*10+BF39,"0")))</f>
        <v>10.0.17.140</v>
      </c>
      <c r="BJ39" s="100">
        <f t="shared" si="22"/>
        <v>0</v>
      </c>
      <c r="BK39" s="98"/>
      <c r="BL39" s="55"/>
      <c r="BM39" s="330"/>
      <c r="BN39" s="63" t="s">
        <v>245</v>
      </c>
      <c r="BO39" s="63">
        <v>2</v>
      </c>
      <c r="BP39" s="63">
        <v>99</v>
      </c>
      <c r="BQ39" s="1"/>
      <c r="BR39" s="3" t="str">
        <f>IF(BP39=99,"", CONCATENATE("10.0.",TEXT(((BITWISE_AND('IP Address (no mod)'!$D$20,BQ$19)/4)+BP39*8),"0"),".",TEXT((BITWISE_AND('IP Address (no mod)'!$D$21,BQ$19)*64)+BM$36*10+BO39,"0")))</f>
        <v/>
      </c>
      <c r="BS39" s="100">
        <f t="shared" si="23"/>
        <v>0</v>
      </c>
      <c r="BT39" s="98"/>
      <c r="BU39" s="55"/>
      <c r="BV39" s="330"/>
      <c r="BW39" s="63" t="s">
        <v>245</v>
      </c>
      <c r="BX39" s="63">
        <v>2</v>
      </c>
      <c r="BY39" s="63">
        <v>2</v>
      </c>
      <c r="BZ39" s="64" t="s">
        <v>277</v>
      </c>
      <c r="CA39" s="3" t="str">
        <f>IF(BY39=99,"", CONCATENATE("10.0.",TEXT(((BITWISE_AND('IP Address (no mod)'!$D$20,BZ$19)/4)+BY39*8),"0"),".",TEXT((BITWISE_AND('IP Address (no mod)'!$D$21,BZ$19)*64)+BV$36*10+BX39,"0")))</f>
        <v>10.0.18.12</v>
      </c>
      <c r="CB39" s="100">
        <f t="shared" si="24"/>
        <v>0</v>
      </c>
      <c r="CC39" s="98"/>
      <c r="CD39" s="55"/>
      <c r="CE39" s="330"/>
      <c r="CF39" s="63" t="s">
        <v>245</v>
      </c>
      <c r="CG39" s="63">
        <v>2</v>
      </c>
      <c r="CH39" s="63">
        <v>99</v>
      </c>
      <c r="CI39" s="1"/>
      <c r="CJ39" s="3" t="str">
        <f>IF(CH39=99,"", CONCATENATE("10.0.",TEXT(((BITWISE_AND('IP Address (no mod)'!$D$20,CI$19)/4)+CH39*8),"0"),".",TEXT((BITWISE_AND('IP Address (no mod)'!$D$21,CI$19)*64)+CE$36*10+CG39,"0")))</f>
        <v/>
      </c>
      <c r="CK39" s="100">
        <f t="shared" si="25"/>
        <v>0</v>
      </c>
      <c r="CL39" s="98"/>
      <c r="CM39" s="55"/>
      <c r="CN39" s="330"/>
      <c r="CO39" s="63" t="s">
        <v>245</v>
      </c>
      <c r="CP39" s="63">
        <v>2</v>
      </c>
      <c r="CQ39" s="63">
        <v>2</v>
      </c>
      <c r="CR39" s="64" t="s">
        <v>277</v>
      </c>
      <c r="CS39" s="3" t="str">
        <f>IF(CQ39=99,"", CONCATENATE("10.0.",TEXT(((BITWISE_AND('IP Address (no mod)'!$D$20,CR$19)/4)+CQ39*8),"0"),".",TEXT((BITWISE_AND('IP Address (no mod)'!$D$21,CR$19)*64)+CN$36*10+CP39,"0")))</f>
        <v>10.0.18.140</v>
      </c>
      <c r="CT39" s="100">
        <f t="shared" si="26"/>
        <v>0</v>
      </c>
      <c r="CU39" s="98"/>
      <c r="CV39" s="55"/>
      <c r="CW39" s="330"/>
      <c r="CX39" s="63" t="s">
        <v>245</v>
      </c>
      <c r="CY39" s="63">
        <v>2</v>
      </c>
      <c r="CZ39" s="63">
        <v>99</v>
      </c>
      <c r="DA39" s="1"/>
      <c r="DB39" s="3" t="str">
        <f>IF(CZ39=99,"", CONCATENATE("10.0.",TEXT(((BITWISE_AND('IP Address (no mod)'!$D$20,DA$19)/4)+CZ39*8),"0"),".",TEXT((BITWISE_AND('IP Address (no mod)'!$D$21,DA$19)*64)+CW$36*10+CY39,"0")))</f>
        <v/>
      </c>
      <c r="DC39" s="100">
        <f t="shared" si="27"/>
        <v>0</v>
      </c>
      <c r="DD39" s="98"/>
      <c r="DE39" s="55"/>
      <c r="DF39" s="330"/>
      <c r="DG39" s="63" t="s">
        <v>245</v>
      </c>
      <c r="DH39" s="63">
        <v>2</v>
      </c>
      <c r="DI39" s="63">
        <v>2</v>
      </c>
      <c r="DJ39" s="64" t="s">
        <v>277</v>
      </c>
      <c r="DK39" s="3" t="str">
        <f>IF(DI39=99,"", CONCATENATE("10.0.",TEXT(((BITWISE_AND('IP Address (no mod)'!$D$20,DJ$19)/4)+DI39*8),"0"),".",TEXT((BITWISE_AND('IP Address (no mod)'!$D$21,DJ$19)*64)+DF$36*10+DH39,"0")))</f>
        <v>10.0.19.12</v>
      </c>
      <c r="DL39" s="100">
        <f t="shared" si="28"/>
        <v>0</v>
      </c>
      <c r="DM39" s="98"/>
      <c r="DN39" s="55"/>
      <c r="DO39" s="330"/>
      <c r="DP39" s="63" t="s">
        <v>245</v>
      </c>
      <c r="DQ39" s="63">
        <v>2</v>
      </c>
      <c r="DR39" s="63">
        <v>99</v>
      </c>
      <c r="DS39" s="1"/>
      <c r="DT39" s="3" t="str">
        <f>IF(DR39=99,"", CONCATENATE("10.0.",TEXT(((BITWISE_AND('IP Address (no mod)'!$D$20,DS$19)/4)+DR39*8),"0"),".",TEXT((BITWISE_AND('IP Address (no mod)'!$D$21,DS$19)*64)+DO$36*10+DQ39,"0")))</f>
        <v/>
      </c>
      <c r="DU39" s="100">
        <f t="shared" si="29"/>
        <v>0</v>
      </c>
      <c r="DV39" s="98"/>
      <c r="DW39" s="55"/>
      <c r="DX39" s="330"/>
      <c r="DY39" s="63" t="s">
        <v>245</v>
      </c>
      <c r="DZ39" s="63">
        <v>2</v>
      </c>
      <c r="EA39" s="63">
        <v>2</v>
      </c>
      <c r="EB39" s="64" t="s">
        <v>277</v>
      </c>
      <c r="EC39" s="3" t="str">
        <f>IF(EA39=99,"", CONCATENATE("10.0.",TEXT(((BITWISE_AND('IP Address (no mod)'!$D$20,EB$19)/4)+EA39*8),"0"),".",TEXT((BITWISE_AND('IP Address (no mod)'!$D$21,EB$19)*64)+DX$36*10+DZ39,"0")))</f>
        <v>10.0.19.140</v>
      </c>
      <c r="ED39" s="100">
        <f t="shared" si="30"/>
        <v>0</v>
      </c>
      <c r="EE39" s="98"/>
      <c r="EF39" s="55"/>
      <c r="EG39" s="330"/>
      <c r="EH39" s="63" t="s">
        <v>245</v>
      </c>
      <c r="EI39" s="63">
        <v>2</v>
      </c>
      <c r="EJ39" s="63">
        <v>2</v>
      </c>
      <c r="EK39" s="64" t="s">
        <v>277</v>
      </c>
      <c r="EL39" s="3" t="str">
        <f>CONCATENATE("10.0.",TEXT(((BITWISE_AND('IP Address (no mod)'!$D$20,EK$19)/4)+EJ39*8),"0"),".",TEXT((BITWISE_AND('IP Address (no mod)'!$D$21,EK$19)*64)+EG$36*10+EI39,"0"))</f>
        <v>10.0.19.204</v>
      </c>
      <c r="EM39" s="100">
        <f t="shared" si="16"/>
        <v>0</v>
      </c>
      <c r="EN39" s="95"/>
    </row>
    <row r="40" spans="1:144">
      <c r="A40" s="319"/>
      <c r="B40" s="93"/>
      <c r="C40" s="55"/>
      <c r="D40" s="330"/>
      <c r="E40" s="63" t="s">
        <v>248</v>
      </c>
      <c r="F40" s="63">
        <v>3</v>
      </c>
      <c r="G40" s="63">
        <v>2</v>
      </c>
      <c r="H40" s="64" t="s">
        <v>278</v>
      </c>
      <c r="I40" s="3" t="str">
        <f>IF(G40=99,"", CONCATENATE("10.0.",TEXT(((BITWISE_AND('IP Address (no mod)'!$D$20,H$19)/4)+G40*8),"0"),".",TEXT((BITWISE_AND('IP Address (no mod)'!$D$21,H$19)*64)+D$36*10+F40,"0")))</f>
        <v>10.0.16.77</v>
      </c>
      <c r="J40" s="100">
        <f t="shared" si="17"/>
        <v>0</v>
      </c>
      <c r="K40" s="98"/>
      <c r="L40" s="55"/>
      <c r="M40" s="330"/>
      <c r="N40" s="63" t="s">
        <v>248</v>
      </c>
      <c r="O40" s="63">
        <v>3</v>
      </c>
      <c r="P40" s="63">
        <v>2</v>
      </c>
      <c r="Q40" s="64" t="s">
        <v>278</v>
      </c>
      <c r="R40" s="3" t="str">
        <f>IF(P40=99,"", CONCATENATE("10.0.",TEXT(((BITWISE_AND('IP Address (no mod)'!$D$20,Q$19)/4)+P40*8),"0"),".",TEXT((BITWISE_AND('IP Address (no mod)'!$D$21,Q$19)*64)+M$36*10+O40,"0")))</f>
        <v>10.0.16.141</v>
      </c>
      <c r="S40" s="100">
        <f t="shared" si="18"/>
        <v>0</v>
      </c>
      <c r="T40" s="98"/>
      <c r="U40" s="55"/>
      <c r="V40" s="330"/>
      <c r="W40" s="63" t="s">
        <v>248</v>
      </c>
      <c r="X40" s="63">
        <v>3</v>
      </c>
      <c r="Y40" s="63">
        <v>2</v>
      </c>
      <c r="Z40" s="64" t="s">
        <v>278</v>
      </c>
      <c r="AA40" s="3" t="str">
        <f>IF(Y40=99,"", CONCATENATE("10.0.",TEXT(((BITWISE_AND('IP Address (no mod)'!$D$20,Z$19)/4)+Y40*8),"0"),".",TEXT((BITWISE_AND('IP Address (no mod)'!$D$21,Z$19)*64)+V$36*10+X40,"0")))</f>
        <v>10.0.16.205</v>
      </c>
      <c r="AB40" s="100">
        <f t="shared" si="19"/>
        <v>0</v>
      </c>
      <c r="AC40" s="98"/>
      <c r="AD40" s="55"/>
      <c r="AE40" s="330"/>
      <c r="AF40" s="63" t="s">
        <v>248</v>
      </c>
      <c r="AG40" s="63">
        <v>3</v>
      </c>
      <c r="AH40" s="63">
        <v>2</v>
      </c>
      <c r="AI40" s="64" t="s">
        <v>278</v>
      </c>
      <c r="AJ40" s="3" t="str">
        <f>IF(AH40=99,"", CONCATENATE("10.0.",TEXT(((BITWISE_AND('IP Address (no mod)'!$D$20,AI$19)/4)+AH40*8),"0"),".",TEXT((BITWISE_AND('IP Address (no mod)'!$D$21,AI$19)*64)+AE$36*10+AG40,"0")))</f>
        <v>10.0.21.141</v>
      </c>
      <c r="AK40" s="100">
        <f t="shared" si="20"/>
        <v>0</v>
      </c>
      <c r="AL40" s="66"/>
      <c r="AM40" s="66"/>
      <c r="AN40" s="66"/>
      <c r="AO40" s="66"/>
      <c r="AP40" s="66"/>
      <c r="AQ40" s="66"/>
      <c r="AR40" s="59"/>
      <c r="AS40" s="98"/>
      <c r="AT40" s="55"/>
      <c r="AU40" s="330"/>
      <c r="AV40" s="63" t="s">
        <v>248</v>
      </c>
      <c r="AW40" s="63">
        <v>3</v>
      </c>
      <c r="AX40" s="63">
        <v>2</v>
      </c>
      <c r="AY40" s="64" t="s">
        <v>278</v>
      </c>
      <c r="AZ40" s="3" t="str">
        <f>IF(AX40=99,"", CONCATENATE("10.0.",TEXT(((BITWISE_AND('IP Address (no mod)'!$D$20,AY$19)/4)+AX40*8),"0"),".",TEXT((BITWISE_AND('IP Address (no mod)'!$D$21,AY$19)*64)+AU$36*10+AW40,"0")))</f>
        <v>10.0.17.77</v>
      </c>
      <c r="BA40" s="100">
        <f t="shared" si="21"/>
        <v>0</v>
      </c>
      <c r="BB40" s="98"/>
      <c r="BC40" s="55"/>
      <c r="BD40" s="330"/>
      <c r="BE40" s="63" t="s">
        <v>248</v>
      </c>
      <c r="BF40" s="63">
        <v>3</v>
      </c>
      <c r="BG40" s="63">
        <v>2</v>
      </c>
      <c r="BH40" s="64" t="s">
        <v>278</v>
      </c>
      <c r="BI40" s="3" t="str">
        <f>IF(BG40=99,"", CONCATENATE("10.0.",TEXT(((BITWISE_AND('IP Address (no mod)'!$D$20,BH$19)/4)+BG40*8),"0"),".",TEXT((BITWISE_AND('IP Address (no mod)'!$D$21,BH$19)*64)+BD$36*10+BF40,"0")))</f>
        <v>10.0.17.141</v>
      </c>
      <c r="BJ40" s="100">
        <f t="shared" si="22"/>
        <v>0</v>
      </c>
      <c r="BK40" s="98"/>
      <c r="BL40" s="55"/>
      <c r="BM40" s="330"/>
      <c r="BN40" s="63" t="s">
        <v>248</v>
      </c>
      <c r="BO40" s="63">
        <v>3</v>
      </c>
      <c r="BP40" s="63">
        <v>2</v>
      </c>
      <c r="BQ40" s="64" t="s">
        <v>278</v>
      </c>
      <c r="BR40" s="3" t="str">
        <f>IF(BP40=99,"", CONCATENATE("10.0.",TEXT(((BITWISE_AND('IP Address (no mod)'!$D$20,BQ$19)/4)+BP40*8),"0"),".",TEXT((BITWISE_AND('IP Address (no mod)'!$D$21,BQ$19)*64)+BM$36*10+BO40,"0")))</f>
        <v>10.0.17.205</v>
      </c>
      <c r="BS40" s="100">
        <f t="shared" si="23"/>
        <v>0</v>
      </c>
      <c r="BT40" s="98"/>
      <c r="BU40" s="55"/>
      <c r="BV40" s="330"/>
      <c r="BW40" s="63" t="s">
        <v>248</v>
      </c>
      <c r="BX40" s="63">
        <v>3</v>
      </c>
      <c r="BY40" s="63">
        <v>2</v>
      </c>
      <c r="BZ40" s="64" t="s">
        <v>278</v>
      </c>
      <c r="CA40" s="3" t="str">
        <f>IF(BY40=99,"", CONCATENATE("10.0.",TEXT(((BITWISE_AND('IP Address (no mod)'!$D$20,BZ$19)/4)+BY40*8),"0"),".",TEXT((BITWISE_AND('IP Address (no mod)'!$D$21,BZ$19)*64)+BV$36*10+BX40,"0")))</f>
        <v>10.0.18.13</v>
      </c>
      <c r="CB40" s="100">
        <f t="shared" si="24"/>
        <v>0</v>
      </c>
      <c r="CC40" s="98"/>
      <c r="CD40" s="55"/>
      <c r="CE40" s="330"/>
      <c r="CF40" s="63" t="s">
        <v>248</v>
      </c>
      <c r="CG40" s="63">
        <v>3</v>
      </c>
      <c r="CH40" s="63">
        <v>2</v>
      </c>
      <c r="CI40" s="64" t="s">
        <v>278</v>
      </c>
      <c r="CJ40" s="3" t="str">
        <f>IF(CH40=99,"", CONCATENATE("10.0.",TEXT(((BITWISE_AND('IP Address (no mod)'!$D$20,CI$19)/4)+CH40*8),"0"),".",TEXT((BITWISE_AND('IP Address (no mod)'!$D$21,CI$19)*64)+CE$36*10+CG40,"0")))</f>
        <v>10.0.18.77</v>
      </c>
      <c r="CK40" s="100">
        <f t="shared" si="25"/>
        <v>0</v>
      </c>
      <c r="CL40" s="98"/>
      <c r="CM40" s="55"/>
      <c r="CN40" s="330"/>
      <c r="CO40" s="63" t="s">
        <v>248</v>
      </c>
      <c r="CP40" s="63">
        <v>3</v>
      </c>
      <c r="CQ40" s="63">
        <v>2</v>
      </c>
      <c r="CR40" s="64" t="s">
        <v>278</v>
      </c>
      <c r="CS40" s="3" t="str">
        <f>IF(CQ40=99,"", CONCATENATE("10.0.",TEXT(((BITWISE_AND('IP Address (no mod)'!$D$20,CR$19)/4)+CQ40*8),"0"),".",TEXT((BITWISE_AND('IP Address (no mod)'!$D$21,CR$19)*64)+CN$36*10+CP40,"0")))</f>
        <v>10.0.18.141</v>
      </c>
      <c r="CT40" s="100">
        <f t="shared" si="26"/>
        <v>0</v>
      </c>
      <c r="CU40" s="98"/>
      <c r="CV40" s="55"/>
      <c r="CW40" s="330"/>
      <c r="CX40" s="63" t="s">
        <v>248</v>
      </c>
      <c r="CY40" s="63">
        <v>3</v>
      </c>
      <c r="CZ40" s="63">
        <v>2</v>
      </c>
      <c r="DA40" s="64" t="s">
        <v>278</v>
      </c>
      <c r="DB40" s="3" t="str">
        <f>IF(CZ40=99,"", CONCATENATE("10.0.",TEXT(((BITWISE_AND('IP Address (no mod)'!$D$20,DA$19)/4)+CZ40*8),"0"),".",TEXT((BITWISE_AND('IP Address (no mod)'!$D$21,DA$19)*64)+CW$36*10+CY40,"0")))</f>
        <v>10.0.18.205</v>
      </c>
      <c r="DC40" s="100">
        <f t="shared" si="27"/>
        <v>0</v>
      </c>
      <c r="DD40" s="98"/>
      <c r="DE40" s="55"/>
      <c r="DF40" s="330"/>
      <c r="DG40" s="63" t="s">
        <v>248</v>
      </c>
      <c r="DH40" s="63">
        <v>3</v>
      </c>
      <c r="DI40" s="63">
        <v>2</v>
      </c>
      <c r="DJ40" s="64" t="s">
        <v>278</v>
      </c>
      <c r="DK40" s="3" t="str">
        <f>IF(DI40=99,"", CONCATENATE("10.0.",TEXT(((BITWISE_AND('IP Address (no mod)'!$D$20,DJ$19)/4)+DI40*8),"0"),".",TEXT((BITWISE_AND('IP Address (no mod)'!$D$21,DJ$19)*64)+DF$36*10+DH40,"0")))</f>
        <v>10.0.19.13</v>
      </c>
      <c r="DL40" s="100">
        <f t="shared" si="28"/>
        <v>0</v>
      </c>
      <c r="DM40" s="98"/>
      <c r="DN40" s="55"/>
      <c r="DO40" s="330"/>
      <c r="DP40" s="63" t="s">
        <v>248</v>
      </c>
      <c r="DQ40" s="63">
        <v>3</v>
      </c>
      <c r="DR40" s="63">
        <v>2</v>
      </c>
      <c r="DS40" s="64" t="s">
        <v>278</v>
      </c>
      <c r="DT40" s="3" t="str">
        <f>IF(DR40=99,"", CONCATENATE("10.0.",TEXT(((BITWISE_AND('IP Address (no mod)'!$D$20,DS$19)/4)+DR40*8),"0"),".",TEXT((BITWISE_AND('IP Address (no mod)'!$D$21,DS$19)*64)+DO$36*10+DQ40,"0")))</f>
        <v>10.0.19.77</v>
      </c>
      <c r="DU40" s="100">
        <f t="shared" si="29"/>
        <v>0</v>
      </c>
      <c r="DV40" s="98"/>
      <c r="DW40" s="55"/>
      <c r="DX40" s="330"/>
      <c r="DY40" s="63" t="s">
        <v>248</v>
      </c>
      <c r="DZ40" s="63">
        <v>3</v>
      </c>
      <c r="EA40" s="63">
        <v>2</v>
      </c>
      <c r="EB40" s="64" t="s">
        <v>278</v>
      </c>
      <c r="EC40" s="3" t="str">
        <f>IF(EA40=99,"", CONCATENATE("10.0.",TEXT(((BITWISE_AND('IP Address (no mod)'!$D$20,EB$19)/4)+EA40*8),"0"),".",TEXT((BITWISE_AND('IP Address (no mod)'!$D$21,EB$19)*64)+DX$36*10+DZ40,"0")))</f>
        <v>10.0.19.141</v>
      </c>
      <c r="ED40" s="100">
        <f t="shared" si="30"/>
        <v>0</v>
      </c>
      <c r="EE40" s="98"/>
      <c r="EF40" s="55"/>
      <c r="EG40" s="330"/>
      <c r="EH40" s="63" t="s">
        <v>248</v>
      </c>
      <c r="EI40" s="63">
        <v>3</v>
      </c>
      <c r="EJ40" s="63">
        <v>2</v>
      </c>
      <c r="EK40" s="64" t="s">
        <v>278</v>
      </c>
      <c r="EL40" s="3" t="str">
        <f>CONCATENATE("10.0.",TEXT(((BITWISE_AND('IP Address (no mod)'!$D$20,EK$19)/4)+EJ40*8),"0"),".",TEXT((BITWISE_AND('IP Address (no mod)'!$D$21,EK$19)*64)+EG$36*10+EI40,"0"))</f>
        <v>10.0.19.205</v>
      </c>
      <c r="EM40" s="100">
        <f t="shared" si="16"/>
        <v>0</v>
      </c>
      <c r="EN40" s="95"/>
    </row>
    <row r="41" spans="1:144">
      <c r="A41" s="319"/>
      <c r="B41" s="93"/>
      <c r="C41" s="55"/>
      <c r="D41" s="330"/>
      <c r="E41" s="63" t="s">
        <v>251</v>
      </c>
      <c r="F41" s="63">
        <v>4</v>
      </c>
      <c r="G41" s="63">
        <v>4</v>
      </c>
      <c r="H41" s="119" t="s">
        <v>279</v>
      </c>
      <c r="I41" s="3" t="str">
        <f>IF(G41=99,"", CONCATENATE("10.0.",TEXT(((BITWISE_AND('IP Address (no mod)'!$D$20,H$19)/4)+G41*8),"0"),".",TEXT((BITWISE_AND('IP Address (no mod)'!$D$21,H$19)*64)+D$36*10+F41,"0")))</f>
        <v>10.0.32.78</v>
      </c>
      <c r="J41" s="100">
        <f t="shared" si="17"/>
        <v>0</v>
      </c>
      <c r="K41" s="98"/>
      <c r="L41" s="55"/>
      <c r="M41" s="330"/>
      <c r="N41" s="63" t="s">
        <v>251</v>
      </c>
      <c r="O41" s="63">
        <v>4</v>
      </c>
      <c r="P41" s="63">
        <v>99</v>
      </c>
      <c r="Q41" s="64"/>
      <c r="R41" s="3" t="str">
        <f>IF(P41=99,"", CONCATENATE("10.0.",TEXT(((BITWISE_AND('IP Address (no mod)'!$D$20,Q$19)/4)+P41*8),"0"),".",TEXT((BITWISE_AND('IP Address (no mod)'!$D$21,Q$19)*64)+M$36*10+O41,"0")))</f>
        <v/>
      </c>
      <c r="S41" s="100">
        <f t="shared" si="18"/>
        <v>0</v>
      </c>
      <c r="T41" s="98"/>
      <c r="U41" s="55"/>
      <c r="V41" s="330"/>
      <c r="W41" s="63" t="s">
        <v>251</v>
      </c>
      <c r="X41" s="63">
        <v>4</v>
      </c>
      <c r="Y41" s="63">
        <v>99</v>
      </c>
      <c r="Z41" s="64"/>
      <c r="AA41" s="3" t="str">
        <f>IF(Y41=99,"", CONCATENATE("10.0.",TEXT(((BITWISE_AND('IP Address (no mod)'!$D$20,Z$19)/4)+Y41*8),"0"),".",TEXT((BITWISE_AND('IP Address (no mod)'!$D$21,Z$19)*64)+V$36*10+X41,"0")))</f>
        <v/>
      </c>
      <c r="AB41" s="100">
        <f t="shared" si="19"/>
        <v>0</v>
      </c>
      <c r="AC41" s="98"/>
      <c r="AD41" s="55"/>
      <c r="AE41" s="330"/>
      <c r="AF41" s="63" t="s">
        <v>251</v>
      </c>
      <c r="AG41" s="63">
        <v>4</v>
      </c>
      <c r="AH41" s="63">
        <v>3</v>
      </c>
      <c r="AI41" s="62" t="s">
        <v>280</v>
      </c>
      <c r="AJ41" s="3" t="str">
        <f>IF(AH41=99,"", CONCATENATE("10.0.",TEXT(((BITWISE_AND('IP Address (no mod)'!$D$20,AI$19)/4)+AH41*8),"0"),".",TEXT((BITWISE_AND('IP Address (no mod)'!$D$21,AI$19)*64)+AE$36*10+AG41,"0")))</f>
        <v>10.0.29.142</v>
      </c>
      <c r="AK41" s="100">
        <f t="shared" si="20"/>
        <v>0</v>
      </c>
      <c r="AL41" s="66"/>
      <c r="AM41" s="66"/>
      <c r="AN41" s="66"/>
      <c r="AO41" s="66"/>
      <c r="AP41" s="66"/>
      <c r="AQ41" s="66"/>
      <c r="AR41" s="59"/>
      <c r="AS41" s="98"/>
      <c r="AT41" s="55"/>
      <c r="AU41" s="330"/>
      <c r="AV41" s="63" t="s">
        <v>251</v>
      </c>
      <c r="AW41" s="63">
        <v>4</v>
      </c>
      <c r="AX41" s="63">
        <v>99</v>
      </c>
      <c r="AY41" s="64"/>
      <c r="AZ41" s="3" t="str">
        <f>IF(AX41=99,"", CONCATENATE("10.0.",TEXT(((BITWISE_AND('IP Address (no mod)'!$D$20,AY$19)/4)+AX41*8),"0"),".",TEXT((BITWISE_AND('IP Address (no mod)'!$D$21,AY$19)*64)+AU$36*10+AW41,"0")))</f>
        <v/>
      </c>
      <c r="BA41" s="100">
        <f t="shared" si="21"/>
        <v>0</v>
      </c>
      <c r="BB41" s="98"/>
      <c r="BC41" s="55"/>
      <c r="BD41" s="330"/>
      <c r="BE41" s="63" t="s">
        <v>251</v>
      </c>
      <c r="BF41" s="63">
        <v>4</v>
      </c>
      <c r="BG41" s="63">
        <v>99</v>
      </c>
      <c r="BH41" s="64"/>
      <c r="BI41" s="3" t="str">
        <f>IF(BG41=99,"", CONCATENATE("10.0.",TEXT(((BITWISE_AND('IP Address (no mod)'!$D$20,BH$19)/4)+BG41*8),"0"),".",TEXT((BITWISE_AND('IP Address (no mod)'!$D$21,BH$19)*64)+BD$36*10+BF41,"0")))</f>
        <v/>
      </c>
      <c r="BJ41" s="100">
        <f t="shared" si="22"/>
        <v>0</v>
      </c>
      <c r="BK41" s="98"/>
      <c r="BL41" s="55"/>
      <c r="BM41" s="330"/>
      <c r="BN41" s="63" t="s">
        <v>251</v>
      </c>
      <c r="BO41" s="63">
        <v>4</v>
      </c>
      <c r="BP41" s="63">
        <v>99</v>
      </c>
      <c r="BQ41" s="64"/>
      <c r="BR41" s="3" t="str">
        <f>IF(BP41=99,"", CONCATENATE("10.0.",TEXT(((BITWISE_AND('IP Address (no mod)'!$D$20,BQ$19)/4)+BP41*8),"0"),".",TEXT((BITWISE_AND('IP Address (no mod)'!$D$21,BQ$19)*64)+BM$36*10+BO41,"0")))</f>
        <v/>
      </c>
      <c r="BS41" s="100">
        <f t="shared" si="23"/>
        <v>0</v>
      </c>
      <c r="BT41" s="98"/>
      <c r="BU41" s="55"/>
      <c r="BV41" s="330"/>
      <c r="BW41" s="63" t="s">
        <v>251</v>
      </c>
      <c r="BX41" s="63">
        <v>4</v>
      </c>
      <c r="BY41" s="63">
        <v>99</v>
      </c>
      <c r="BZ41" s="64"/>
      <c r="CA41" s="3" t="str">
        <f>IF(BY41=99,"", CONCATENATE("10.0.",TEXT(((BITWISE_AND('IP Address (no mod)'!$D$20,BZ$19)/4)+BY41*8),"0"),".",TEXT((BITWISE_AND('IP Address (no mod)'!$D$21,BZ$19)*64)+BV$36*10+BX41,"0")))</f>
        <v/>
      </c>
      <c r="CB41" s="100">
        <f t="shared" si="24"/>
        <v>0</v>
      </c>
      <c r="CC41" s="98"/>
      <c r="CD41" s="55"/>
      <c r="CE41" s="330"/>
      <c r="CF41" s="63" t="s">
        <v>251</v>
      </c>
      <c r="CG41" s="63">
        <v>4</v>
      </c>
      <c r="CH41" s="63">
        <v>99</v>
      </c>
      <c r="CI41" s="64"/>
      <c r="CJ41" s="3" t="str">
        <f>IF(CH41=99,"", CONCATENATE("10.0.",TEXT(((BITWISE_AND('IP Address (no mod)'!$D$20,CI$19)/4)+CH41*8),"0"),".",TEXT((BITWISE_AND('IP Address (no mod)'!$D$21,CI$19)*64)+CE$36*10+CG41,"0")))</f>
        <v/>
      </c>
      <c r="CK41" s="100">
        <f t="shared" si="25"/>
        <v>0</v>
      </c>
      <c r="CL41" s="98"/>
      <c r="CM41" s="55"/>
      <c r="CN41" s="330"/>
      <c r="CO41" s="63" t="s">
        <v>251</v>
      </c>
      <c r="CP41" s="63">
        <v>4</v>
      </c>
      <c r="CQ41" s="63">
        <v>99</v>
      </c>
      <c r="CR41" s="64"/>
      <c r="CS41" s="3" t="str">
        <f>IF(CQ41=99,"", CONCATENATE("10.0.",TEXT(((BITWISE_AND('IP Address (no mod)'!$D$20,CR$19)/4)+CQ41*8),"0"),".",TEXT((BITWISE_AND('IP Address (no mod)'!$D$21,CR$19)*64)+CN$36*10+CP41,"0")))</f>
        <v/>
      </c>
      <c r="CT41" s="100">
        <f t="shared" si="26"/>
        <v>0</v>
      </c>
      <c r="CU41" s="98"/>
      <c r="CV41" s="55"/>
      <c r="CW41" s="330"/>
      <c r="CX41" s="63" t="s">
        <v>251</v>
      </c>
      <c r="CY41" s="63">
        <v>4</v>
      </c>
      <c r="CZ41" s="63">
        <v>99</v>
      </c>
      <c r="DA41" s="64"/>
      <c r="DB41" s="3" t="str">
        <f>IF(CZ41=99,"", CONCATENATE("10.0.",TEXT(((BITWISE_AND('IP Address (no mod)'!$D$20,DA$19)/4)+CZ41*8),"0"),".",TEXT((BITWISE_AND('IP Address (no mod)'!$D$21,DA$19)*64)+CW$36*10+CY41,"0")))</f>
        <v/>
      </c>
      <c r="DC41" s="100">
        <f t="shared" si="27"/>
        <v>0</v>
      </c>
      <c r="DD41" s="98"/>
      <c r="DE41" s="55"/>
      <c r="DF41" s="330"/>
      <c r="DG41" s="63" t="s">
        <v>251</v>
      </c>
      <c r="DH41" s="63">
        <v>4</v>
      </c>
      <c r="DI41" s="63">
        <v>99</v>
      </c>
      <c r="DJ41" s="64"/>
      <c r="DK41" s="3" t="str">
        <f>IF(DI41=99,"", CONCATENATE("10.0.",TEXT(((BITWISE_AND('IP Address (no mod)'!$D$20,DJ$19)/4)+DI41*8),"0"),".",TEXT((BITWISE_AND('IP Address (no mod)'!$D$21,DJ$19)*64)+DF$36*10+DH41,"0")))</f>
        <v/>
      </c>
      <c r="DL41" s="100">
        <f t="shared" si="28"/>
        <v>0</v>
      </c>
      <c r="DM41" s="98"/>
      <c r="DN41" s="55"/>
      <c r="DO41" s="330"/>
      <c r="DP41" s="63" t="s">
        <v>251</v>
      </c>
      <c r="DQ41" s="63">
        <v>4</v>
      </c>
      <c r="DR41" s="63">
        <v>99</v>
      </c>
      <c r="DS41" s="64"/>
      <c r="DT41" s="3" t="str">
        <f>IF(DR41=99,"", CONCATENATE("10.0.",TEXT(((BITWISE_AND('IP Address (no mod)'!$D$20,DS$19)/4)+DR41*8),"0"),".",TEXT((BITWISE_AND('IP Address (no mod)'!$D$21,DS$19)*64)+DO$36*10+DQ41,"0")))</f>
        <v/>
      </c>
      <c r="DU41" s="100">
        <f t="shared" si="29"/>
        <v>0</v>
      </c>
      <c r="DV41" s="98"/>
      <c r="DW41" s="55"/>
      <c r="DX41" s="330"/>
      <c r="DY41" s="63" t="s">
        <v>251</v>
      </c>
      <c r="DZ41" s="63">
        <v>4</v>
      </c>
      <c r="EA41" s="63">
        <v>99</v>
      </c>
      <c r="EB41" s="64"/>
      <c r="EC41" s="3" t="str">
        <f>IF(EA41=99,"", CONCATENATE("10.0.",TEXT(((BITWISE_AND('IP Address (no mod)'!$D$20,EB$19)/4)+EA41*8),"0"),".",TEXT((BITWISE_AND('IP Address (no mod)'!$D$21,EB$19)*64)+DX$36*10+DZ41,"0")))</f>
        <v/>
      </c>
      <c r="ED41" s="100">
        <f t="shared" si="30"/>
        <v>0</v>
      </c>
      <c r="EE41" s="98"/>
      <c r="EF41" s="55"/>
      <c r="EG41" s="330"/>
      <c r="EH41" s="63" t="s">
        <v>251</v>
      </c>
      <c r="EI41" s="63">
        <v>4</v>
      </c>
      <c r="EJ41" s="63">
        <v>4</v>
      </c>
      <c r="EK41" s="119" t="s">
        <v>279</v>
      </c>
      <c r="EL41" s="3" t="str">
        <f>CONCATENATE("10.0.",TEXT(((BITWISE_AND('IP Address (no mod)'!$D$20,EK$19)/4)+EJ41*8),"0"),".",TEXT((BITWISE_AND('IP Address (no mod)'!$D$21,EK$19)*64)+EG$36*10+EI41,"0"))</f>
        <v>10.0.35.206</v>
      </c>
      <c r="EM41" s="100">
        <f t="shared" si="16"/>
        <v>0</v>
      </c>
      <c r="EN41" s="95"/>
    </row>
    <row r="42" spans="1:144">
      <c r="A42" s="319"/>
      <c r="B42" s="93"/>
      <c r="C42" s="55"/>
      <c r="D42" s="330"/>
      <c r="E42" s="63" t="s">
        <v>254</v>
      </c>
      <c r="F42" s="63">
        <v>5</v>
      </c>
      <c r="G42" s="63">
        <v>3</v>
      </c>
      <c r="H42" s="64" t="s">
        <v>501</v>
      </c>
      <c r="I42" s="3" t="str">
        <f>IF(G42=99,"", CONCATENATE("10.0.",TEXT(((BITWISE_AND('IP Address (no mod)'!$D$20,H$19)/4)+G42*8),"0"),".",TEXT((BITWISE_AND('IP Address (no mod)'!$D$21,H$19)*64)+D$36*10+F42,"0")))</f>
        <v>10.0.24.79</v>
      </c>
      <c r="J42" s="100">
        <f t="shared" si="17"/>
        <v>0</v>
      </c>
      <c r="K42" s="98"/>
      <c r="L42" s="55"/>
      <c r="M42" s="330"/>
      <c r="N42" s="63" t="s">
        <v>254</v>
      </c>
      <c r="O42" s="63">
        <v>5</v>
      </c>
      <c r="P42" s="63">
        <v>3</v>
      </c>
      <c r="Q42" s="64" t="s">
        <v>281</v>
      </c>
      <c r="R42" s="3" t="str">
        <f>IF(P42=99,"", CONCATENATE("10.0.",TEXT(((BITWISE_AND('IP Address (no mod)'!$D$20,Q$19)/4)+P42*8),"0"),".",TEXT((BITWISE_AND('IP Address (no mod)'!$D$21,Q$19)*64)+M$36*10+O42,"0")))</f>
        <v>10.0.24.143</v>
      </c>
      <c r="S42" s="100">
        <f t="shared" si="18"/>
        <v>0</v>
      </c>
      <c r="T42" s="98"/>
      <c r="U42" s="55"/>
      <c r="V42" s="330"/>
      <c r="W42" s="63" t="s">
        <v>254</v>
      </c>
      <c r="X42" s="63">
        <v>5</v>
      </c>
      <c r="Y42" s="63">
        <v>3</v>
      </c>
      <c r="Z42" s="64" t="s">
        <v>281</v>
      </c>
      <c r="AA42" s="3" t="str">
        <f>IF(Y42=99,"", CONCATENATE("10.0.",TEXT(((BITWISE_AND('IP Address (no mod)'!$D$20,Z$19)/4)+Y42*8),"0"),".",TEXT((BITWISE_AND('IP Address (no mod)'!$D$21,Z$19)*64)+V$36*10+X42,"0")))</f>
        <v>10.0.24.207</v>
      </c>
      <c r="AB42" s="100">
        <f t="shared" si="19"/>
        <v>0</v>
      </c>
      <c r="AC42" s="98"/>
      <c r="AD42" s="55"/>
      <c r="AE42" s="330"/>
      <c r="AF42" s="63" t="s">
        <v>254</v>
      </c>
      <c r="AG42" s="63">
        <v>5</v>
      </c>
      <c r="AH42" s="63">
        <v>3</v>
      </c>
      <c r="AI42" s="64" t="s">
        <v>281</v>
      </c>
      <c r="AJ42" s="3" t="str">
        <f>IF(AH42=99,"", CONCATENATE("10.0.",TEXT(((BITWISE_AND('IP Address (no mod)'!$D$20,AI$19)/4)+AH42*8),"0"),".",TEXT((BITWISE_AND('IP Address (no mod)'!$D$21,AI$19)*64)+AE$36*10+AG42,"0")))</f>
        <v>10.0.29.143</v>
      </c>
      <c r="AK42" s="100">
        <f t="shared" si="20"/>
        <v>0</v>
      </c>
      <c r="AL42" s="66"/>
      <c r="AM42" s="66"/>
      <c r="AN42" s="66"/>
      <c r="AO42" s="66"/>
      <c r="AP42" s="1"/>
      <c r="AQ42" s="66"/>
      <c r="AR42" s="59"/>
      <c r="AS42" s="98"/>
      <c r="AT42" s="55"/>
      <c r="AU42" s="330"/>
      <c r="AV42" s="63" t="s">
        <v>254</v>
      </c>
      <c r="AW42" s="63">
        <v>5</v>
      </c>
      <c r="AX42" s="63">
        <v>3</v>
      </c>
      <c r="AY42" s="64" t="s">
        <v>281</v>
      </c>
      <c r="AZ42" s="3" t="str">
        <f>IF(AX42=99,"", CONCATENATE("10.0.",TEXT(((BITWISE_AND('IP Address (no mod)'!$D$20,AY$19)/4)+AX42*8),"0"),".",TEXT((BITWISE_AND('IP Address (no mod)'!$D$21,AY$19)*64)+AU$36*10+AW42,"0")))</f>
        <v>10.0.25.79</v>
      </c>
      <c r="BA42" s="100">
        <f t="shared" si="21"/>
        <v>0</v>
      </c>
      <c r="BB42" s="98"/>
      <c r="BC42" s="55"/>
      <c r="BD42" s="330"/>
      <c r="BE42" s="63" t="s">
        <v>254</v>
      </c>
      <c r="BF42" s="63">
        <v>5</v>
      </c>
      <c r="BG42" s="63">
        <v>3</v>
      </c>
      <c r="BH42" s="64" t="s">
        <v>281</v>
      </c>
      <c r="BI42" s="3" t="str">
        <f>IF(BG42=99,"", CONCATENATE("10.0.",TEXT(((BITWISE_AND('IP Address (no mod)'!$D$20,BH$19)/4)+BG42*8),"0"),".",TEXT((BITWISE_AND('IP Address (no mod)'!$D$21,BH$19)*64)+BD$36*10+BF42,"0")))</f>
        <v>10.0.25.143</v>
      </c>
      <c r="BJ42" s="100">
        <f t="shared" si="22"/>
        <v>0</v>
      </c>
      <c r="BK42" s="98"/>
      <c r="BL42" s="55"/>
      <c r="BM42" s="330"/>
      <c r="BN42" s="63" t="s">
        <v>254</v>
      </c>
      <c r="BO42" s="63">
        <v>5</v>
      </c>
      <c r="BP42" s="63">
        <v>3</v>
      </c>
      <c r="BQ42" s="64" t="s">
        <v>281</v>
      </c>
      <c r="BR42" s="3" t="str">
        <f>IF(BP42=99,"", CONCATENATE("10.0.",TEXT(((BITWISE_AND('IP Address (no mod)'!$D$20,BQ$19)/4)+BP42*8),"0"),".",TEXT((BITWISE_AND('IP Address (no mod)'!$D$21,BQ$19)*64)+BM$36*10+BO42,"0")))</f>
        <v>10.0.25.207</v>
      </c>
      <c r="BS42" s="100">
        <f t="shared" si="23"/>
        <v>0</v>
      </c>
      <c r="BT42" s="98"/>
      <c r="BU42" s="55"/>
      <c r="BV42" s="330"/>
      <c r="BW42" s="63" t="s">
        <v>254</v>
      </c>
      <c r="BX42" s="63">
        <v>5</v>
      </c>
      <c r="BY42" s="63">
        <v>3</v>
      </c>
      <c r="BZ42" s="64" t="s">
        <v>281</v>
      </c>
      <c r="CA42" s="3" t="str">
        <f>IF(BY42=99,"", CONCATENATE("10.0.",TEXT(((BITWISE_AND('IP Address (no mod)'!$D$20,BZ$19)/4)+BY42*8),"0"),".",TEXT((BITWISE_AND('IP Address (no mod)'!$D$21,BZ$19)*64)+BV$36*10+BX42,"0")))</f>
        <v>10.0.26.15</v>
      </c>
      <c r="CB42" s="100">
        <f t="shared" si="24"/>
        <v>0</v>
      </c>
      <c r="CC42" s="98"/>
      <c r="CD42" s="55"/>
      <c r="CE42" s="330"/>
      <c r="CF42" s="63" t="s">
        <v>254</v>
      </c>
      <c r="CG42" s="63">
        <v>5</v>
      </c>
      <c r="CH42" s="63">
        <v>3</v>
      </c>
      <c r="CI42" s="64" t="s">
        <v>281</v>
      </c>
      <c r="CJ42" s="3" t="str">
        <f>IF(CH42=99,"", CONCATENATE("10.0.",TEXT(((BITWISE_AND('IP Address (no mod)'!$D$20,CI$19)/4)+CH42*8),"0"),".",TEXT((BITWISE_AND('IP Address (no mod)'!$D$21,CI$19)*64)+CE$36*10+CG42,"0")))</f>
        <v>10.0.26.79</v>
      </c>
      <c r="CK42" s="100">
        <f t="shared" si="25"/>
        <v>0</v>
      </c>
      <c r="CL42" s="98"/>
      <c r="CM42" s="55"/>
      <c r="CN42" s="330"/>
      <c r="CO42" s="63" t="s">
        <v>254</v>
      </c>
      <c r="CP42" s="63">
        <v>5</v>
      </c>
      <c r="CQ42" s="63">
        <v>3</v>
      </c>
      <c r="CR42" s="64" t="s">
        <v>281</v>
      </c>
      <c r="CS42" s="3" t="str">
        <f>IF(CQ42=99,"", CONCATENATE("10.0.",TEXT(((BITWISE_AND('IP Address (no mod)'!$D$20,CR$19)/4)+CQ42*8),"0"),".",TEXT((BITWISE_AND('IP Address (no mod)'!$D$21,CR$19)*64)+CN$36*10+CP42,"0")))</f>
        <v>10.0.26.143</v>
      </c>
      <c r="CT42" s="100">
        <f t="shared" si="26"/>
        <v>0</v>
      </c>
      <c r="CU42" s="98"/>
      <c r="CV42" s="55"/>
      <c r="CW42" s="330"/>
      <c r="CX42" s="63" t="s">
        <v>254</v>
      </c>
      <c r="CY42" s="63">
        <v>5</v>
      </c>
      <c r="CZ42" s="63">
        <v>3</v>
      </c>
      <c r="DA42" s="64" t="s">
        <v>281</v>
      </c>
      <c r="DB42" s="3" t="str">
        <f>IF(CZ42=99,"", CONCATENATE("10.0.",TEXT(((BITWISE_AND('IP Address (no mod)'!$D$20,DA$19)/4)+CZ42*8),"0"),".",TEXT((BITWISE_AND('IP Address (no mod)'!$D$21,DA$19)*64)+CW$36*10+CY42,"0")))</f>
        <v>10.0.26.207</v>
      </c>
      <c r="DC42" s="100">
        <f t="shared" si="27"/>
        <v>0</v>
      </c>
      <c r="DD42" s="98"/>
      <c r="DE42" s="55"/>
      <c r="DF42" s="330"/>
      <c r="DG42" s="63" t="s">
        <v>254</v>
      </c>
      <c r="DH42" s="63">
        <v>5</v>
      </c>
      <c r="DI42" s="63">
        <v>3</v>
      </c>
      <c r="DJ42" s="64" t="s">
        <v>281</v>
      </c>
      <c r="DK42" s="3" t="str">
        <f>IF(DI42=99,"", CONCATENATE("10.0.",TEXT(((BITWISE_AND('IP Address (no mod)'!$D$20,DJ$19)/4)+DI42*8),"0"),".",TEXT((BITWISE_AND('IP Address (no mod)'!$D$21,DJ$19)*64)+DF$36*10+DH42,"0")))</f>
        <v>10.0.27.15</v>
      </c>
      <c r="DL42" s="100">
        <f t="shared" si="28"/>
        <v>0</v>
      </c>
      <c r="DM42" s="98"/>
      <c r="DN42" s="55"/>
      <c r="DO42" s="330"/>
      <c r="DP42" s="63" t="s">
        <v>254</v>
      </c>
      <c r="DQ42" s="63">
        <v>5</v>
      </c>
      <c r="DR42" s="63">
        <v>3</v>
      </c>
      <c r="DS42" s="64" t="s">
        <v>281</v>
      </c>
      <c r="DT42" s="3" t="str">
        <f>IF(DR42=99,"", CONCATENATE("10.0.",TEXT(((BITWISE_AND('IP Address (no mod)'!$D$20,DS$19)/4)+DR42*8),"0"),".",TEXT((BITWISE_AND('IP Address (no mod)'!$D$21,DS$19)*64)+DO$36*10+DQ42,"0")))</f>
        <v>10.0.27.79</v>
      </c>
      <c r="DU42" s="100">
        <f t="shared" si="29"/>
        <v>0</v>
      </c>
      <c r="DV42" s="98"/>
      <c r="DW42" s="55"/>
      <c r="DX42" s="330"/>
      <c r="DY42" s="63" t="s">
        <v>254</v>
      </c>
      <c r="DZ42" s="63">
        <v>5</v>
      </c>
      <c r="EA42" s="63">
        <v>3</v>
      </c>
      <c r="EB42" s="64" t="s">
        <v>281</v>
      </c>
      <c r="EC42" s="3" t="str">
        <f>IF(EA42=99,"", CONCATENATE("10.0.",TEXT(((BITWISE_AND('IP Address (no mod)'!$D$20,EB$19)/4)+EA42*8),"0"),".",TEXT((BITWISE_AND('IP Address (no mod)'!$D$21,EB$19)*64)+DX$36*10+DZ42,"0")))</f>
        <v>10.0.27.143</v>
      </c>
      <c r="ED42" s="100">
        <f t="shared" si="30"/>
        <v>0</v>
      </c>
      <c r="EE42" s="98"/>
      <c r="EF42" s="55"/>
      <c r="EG42" s="330"/>
      <c r="EH42" s="63" t="s">
        <v>254</v>
      </c>
      <c r="EI42" s="63">
        <v>5</v>
      </c>
      <c r="EJ42" s="63">
        <v>3</v>
      </c>
      <c r="EK42" s="64" t="s">
        <v>501</v>
      </c>
      <c r="EL42" s="3" t="str">
        <f>CONCATENATE("10.0.",TEXT(((BITWISE_AND('IP Address (no mod)'!$D$20,EK$19)/4)+EJ42*8),"0"),".",TEXT((BITWISE_AND('IP Address (no mod)'!$D$21,EK$19)*64)+EG$36*10+EI42,"0"))</f>
        <v>10.0.27.207</v>
      </c>
      <c r="EM42" s="100">
        <f t="shared" si="16"/>
        <v>0</v>
      </c>
      <c r="EN42" s="95"/>
    </row>
    <row r="43" spans="1:144">
      <c r="A43" s="319"/>
      <c r="B43" s="93"/>
      <c r="C43" s="55"/>
      <c r="D43" s="330"/>
      <c r="E43" s="63" t="s">
        <v>257</v>
      </c>
      <c r="F43" s="63">
        <v>6</v>
      </c>
      <c r="G43" s="63">
        <v>3</v>
      </c>
      <c r="H43" s="64" t="s">
        <v>282</v>
      </c>
      <c r="I43" s="3" t="str">
        <f>IF(G43=99,"", CONCATENATE("10.0.",TEXT(((BITWISE_AND('IP Address (no mod)'!$D$20,H$19)/4)+G43*8),"0"),".",TEXT((BITWISE_AND('IP Address (no mod)'!$D$21,H$19)*64)+D$36*10+F43,"0")))</f>
        <v>10.0.24.80</v>
      </c>
      <c r="J43" s="100">
        <f t="shared" si="17"/>
        <v>0</v>
      </c>
      <c r="K43" s="98"/>
      <c r="L43" s="55"/>
      <c r="M43" s="330"/>
      <c r="N43" s="63" t="s">
        <v>257</v>
      </c>
      <c r="O43" s="63">
        <v>6</v>
      </c>
      <c r="P43" s="63">
        <v>3</v>
      </c>
      <c r="Q43" s="64" t="s">
        <v>282</v>
      </c>
      <c r="R43" s="3" t="str">
        <f>IF(P43=99,"", CONCATENATE("10.0.",TEXT(((BITWISE_AND('IP Address (no mod)'!$D$20,Q$19)/4)+P43*8),"0"),".",TEXT((BITWISE_AND('IP Address (no mod)'!$D$21,Q$19)*64)+M$36*10+O43,"0")))</f>
        <v>10.0.24.144</v>
      </c>
      <c r="S43" s="100">
        <f t="shared" si="18"/>
        <v>0</v>
      </c>
      <c r="T43" s="98"/>
      <c r="U43" s="55"/>
      <c r="V43" s="330"/>
      <c r="W43" s="63" t="s">
        <v>257</v>
      </c>
      <c r="X43" s="63">
        <v>6</v>
      </c>
      <c r="Y43" s="63">
        <v>3</v>
      </c>
      <c r="Z43" s="64" t="s">
        <v>282</v>
      </c>
      <c r="AA43" s="3" t="str">
        <f>IF(Y43=99,"", CONCATENATE("10.0.",TEXT(((BITWISE_AND('IP Address (no mod)'!$D$20,Z$19)/4)+Y43*8),"0"),".",TEXT((BITWISE_AND('IP Address (no mod)'!$D$21,Z$19)*64)+V$36*10+X43,"0")))</f>
        <v>10.0.24.208</v>
      </c>
      <c r="AB43" s="100">
        <f t="shared" si="19"/>
        <v>0</v>
      </c>
      <c r="AC43" s="98"/>
      <c r="AD43" s="55"/>
      <c r="AE43" s="330"/>
      <c r="AF43" s="63" t="s">
        <v>257</v>
      </c>
      <c r="AG43" s="63">
        <v>6</v>
      </c>
      <c r="AH43" s="63">
        <v>3</v>
      </c>
      <c r="AI43" s="64" t="s">
        <v>282</v>
      </c>
      <c r="AJ43" s="3" t="str">
        <f>IF(AH43=99,"", CONCATENATE("10.0.",TEXT(((BITWISE_AND('IP Address (no mod)'!$D$20,AI$19)/4)+AH43*8),"0"),".",TEXT((BITWISE_AND('IP Address (no mod)'!$D$21,AI$19)*64)+AE$36*10+AG43,"0")))</f>
        <v>10.0.29.144</v>
      </c>
      <c r="AK43" s="100">
        <f t="shared" si="20"/>
        <v>0</v>
      </c>
      <c r="AL43" s="66"/>
      <c r="AM43" s="66"/>
      <c r="AN43" s="66"/>
      <c r="AO43" s="66"/>
      <c r="AP43" s="66"/>
      <c r="AQ43" s="66"/>
      <c r="AR43" s="59"/>
      <c r="AS43" s="98"/>
      <c r="AT43" s="55"/>
      <c r="AU43" s="330"/>
      <c r="AV43" s="63" t="s">
        <v>257</v>
      </c>
      <c r="AW43" s="63">
        <v>6</v>
      </c>
      <c r="AX43" s="63">
        <v>3</v>
      </c>
      <c r="AY43" s="64" t="s">
        <v>282</v>
      </c>
      <c r="AZ43" s="3" t="str">
        <f>IF(AX43=99,"", CONCATENATE("10.0.",TEXT(((BITWISE_AND('IP Address (no mod)'!$D$20,AY$19)/4)+AX43*8),"0"),".",TEXT((BITWISE_AND('IP Address (no mod)'!$D$21,AY$19)*64)+AU$36*10+AW43,"0")))</f>
        <v>10.0.25.80</v>
      </c>
      <c r="BA43" s="100">
        <f t="shared" si="21"/>
        <v>0</v>
      </c>
      <c r="BB43" s="98"/>
      <c r="BC43" s="55"/>
      <c r="BD43" s="330"/>
      <c r="BE43" s="63" t="s">
        <v>257</v>
      </c>
      <c r="BF43" s="63">
        <v>6</v>
      </c>
      <c r="BG43" s="63">
        <v>3</v>
      </c>
      <c r="BH43" s="64" t="s">
        <v>282</v>
      </c>
      <c r="BI43" s="3" t="str">
        <f>IF(BG43=99,"", CONCATENATE("10.0.",TEXT(((BITWISE_AND('IP Address (no mod)'!$D$20,BH$19)/4)+BG43*8),"0"),".",TEXT((BITWISE_AND('IP Address (no mod)'!$D$21,BH$19)*64)+BD$36*10+BF43,"0")))</f>
        <v>10.0.25.144</v>
      </c>
      <c r="BJ43" s="100">
        <f t="shared" si="22"/>
        <v>0</v>
      </c>
      <c r="BK43" s="98"/>
      <c r="BL43" s="55"/>
      <c r="BM43" s="330"/>
      <c r="BN43" s="63" t="s">
        <v>257</v>
      </c>
      <c r="BO43" s="63">
        <v>6</v>
      </c>
      <c r="BP43" s="63">
        <v>3</v>
      </c>
      <c r="BQ43" s="64" t="s">
        <v>282</v>
      </c>
      <c r="BR43" s="3" t="str">
        <f>IF(BP43=99,"", CONCATENATE("10.0.",TEXT(((BITWISE_AND('IP Address (no mod)'!$D$20,BQ$19)/4)+BP43*8),"0"),".",TEXT((BITWISE_AND('IP Address (no mod)'!$D$21,BQ$19)*64)+BM$36*10+BO43,"0")))</f>
        <v>10.0.25.208</v>
      </c>
      <c r="BS43" s="100">
        <f t="shared" si="23"/>
        <v>0</v>
      </c>
      <c r="BT43" s="98"/>
      <c r="BU43" s="55"/>
      <c r="BV43" s="330"/>
      <c r="BW43" s="63" t="s">
        <v>257</v>
      </c>
      <c r="BX43" s="63">
        <v>6</v>
      </c>
      <c r="BY43" s="63">
        <v>3</v>
      </c>
      <c r="BZ43" s="64" t="s">
        <v>282</v>
      </c>
      <c r="CA43" s="3" t="str">
        <f>IF(BY43=99,"", CONCATENATE("10.0.",TEXT(((BITWISE_AND('IP Address (no mod)'!$D$20,BZ$19)/4)+BY43*8),"0"),".",TEXT((BITWISE_AND('IP Address (no mod)'!$D$21,BZ$19)*64)+BV$36*10+BX43,"0")))</f>
        <v>10.0.26.16</v>
      </c>
      <c r="CB43" s="100">
        <f t="shared" si="24"/>
        <v>0</v>
      </c>
      <c r="CC43" s="98"/>
      <c r="CD43" s="55"/>
      <c r="CE43" s="330"/>
      <c r="CF43" s="63" t="s">
        <v>257</v>
      </c>
      <c r="CG43" s="63">
        <v>6</v>
      </c>
      <c r="CH43" s="63">
        <v>3</v>
      </c>
      <c r="CI43" s="64" t="s">
        <v>282</v>
      </c>
      <c r="CJ43" s="3" t="str">
        <f>IF(CH43=99,"", CONCATENATE("10.0.",TEXT(((BITWISE_AND('IP Address (no mod)'!$D$20,CI$19)/4)+CH43*8),"0"),".",TEXT((BITWISE_AND('IP Address (no mod)'!$D$21,CI$19)*64)+CE$36*10+CG43,"0")))</f>
        <v>10.0.26.80</v>
      </c>
      <c r="CK43" s="100">
        <f t="shared" si="25"/>
        <v>0</v>
      </c>
      <c r="CL43" s="98"/>
      <c r="CM43" s="55"/>
      <c r="CN43" s="330"/>
      <c r="CO43" s="63" t="s">
        <v>257</v>
      </c>
      <c r="CP43" s="63">
        <v>6</v>
      </c>
      <c r="CQ43" s="63">
        <v>3</v>
      </c>
      <c r="CR43" s="64" t="s">
        <v>282</v>
      </c>
      <c r="CS43" s="3" t="str">
        <f>IF(CQ43=99,"", CONCATENATE("10.0.",TEXT(((BITWISE_AND('IP Address (no mod)'!$D$20,CR$19)/4)+CQ43*8),"0"),".",TEXT((BITWISE_AND('IP Address (no mod)'!$D$21,CR$19)*64)+CN$36*10+CP43,"0")))</f>
        <v>10.0.26.144</v>
      </c>
      <c r="CT43" s="100">
        <f t="shared" si="26"/>
        <v>0</v>
      </c>
      <c r="CU43" s="98"/>
      <c r="CV43" s="55"/>
      <c r="CW43" s="330"/>
      <c r="CX43" s="63" t="s">
        <v>257</v>
      </c>
      <c r="CY43" s="63">
        <v>6</v>
      </c>
      <c r="CZ43" s="63">
        <v>3</v>
      </c>
      <c r="DA43" s="64" t="s">
        <v>282</v>
      </c>
      <c r="DB43" s="3" t="str">
        <f>IF(CZ43=99,"", CONCATENATE("10.0.",TEXT(((BITWISE_AND('IP Address (no mod)'!$D$20,DA$19)/4)+CZ43*8),"0"),".",TEXT((BITWISE_AND('IP Address (no mod)'!$D$21,DA$19)*64)+CW$36*10+CY43,"0")))</f>
        <v>10.0.26.208</v>
      </c>
      <c r="DC43" s="100">
        <f t="shared" si="27"/>
        <v>0</v>
      </c>
      <c r="DD43" s="98"/>
      <c r="DE43" s="55"/>
      <c r="DF43" s="330"/>
      <c r="DG43" s="63" t="s">
        <v>257</v>
      </c>
      <c r="DH43" s="63">
        <v>6</v>
      </c>
      <c r="DI43" s="63">
        <v>3</v>
      </c>
      <c r="DJ43" s="64" t="s">
        <v>282</v>
      </c>
      <c r="DK43" s="3" t="str">
        <f>IF(DI43=99,"", CONCATENATE("10.0.",TEXT(((BITWISE_AND('IP Address (no mod)'!$D$20,DJ$19)/4)+DI43*8),"0"),".",TEXT((BITWISE_AND('IP Address (no mod)'!$D$21,DJ$19)*64)+DF$36*10+DH43,"0")))</f>
        <v>10.0.27.16</v>
      </c>
      <c r="DL43" s="100">
        <f t="shared" si="28"/>
        <v>0</v>
      </c>
      <c r="DM43" s="98"/>
      <c r="DN43" s="55"/>
      <c r="DO43" s="330"/>
      <c r="DP43" s="63" t="s">
        <v>257</v>
      </c>
      <c r="DQ43" s="63">
        <v>6</v>
      </c>
      <c r="DR43" s="63">
        <v>3</v>
      </c>
      <c r="DS43" s="64" t="s">
        <v>282</v>
      </c>
      <c r="DT43" s="3" t="str">
        <f>IF(DR43=99,"", CONCATENATE("10.0.",TEXT(((BITWISE_AND('IP Address (no mod)'!$D$20,DS$19)/4)+DR43*8),"0"),".",TEXT((BITWISE_AND('IP Address (no mod)'!$D$21,DS$19)*64)+DO$36*10+DQ43,"0")))</f>
        <v>10.0.27.80</v>
      </c>
      <c r="DU43" s="100">
        <f t="shared" si="29"/>
        <v>0</v>
      </c>
      <c r="DV43" s="98"/>
      <c r="DW43" s="55"/>
      <c r="DX43" s="330"/>
      <c r="DY43" s="63" t="s">
        <v>257</v>
      </c>
      <c r="DZ43" s="63">
        <v>6</v>
      </c>
      <c r="EA43" s="63">
        <v>3</v>
      </c>
      <c r="EB43" s="64" t="s">
        <v>282</v>
      </c>
      <c r="EC43" s="3" t="str">
        <f>IF(EA43=99,"", CONCATENATE("10.0.",TEXT(((BITWISE_AND('IP Address (no mod)'!$D$20,EB$19)/4)+EA43*8),"0"),".",TEXT((BITWISE_AND('IP Address (no mod)'!$D$21,EB$19)*64)+DX$36*10+DZ43,"0")))</f>
        <v>10.0.27.144</v>
      </c>
      <c r="ED43" s="100">
        <f t="shared" si="30"/>
        <v>0</v>
      </c>
      <c r="EE43" s="98"/>
      <c r="EF43" s="55"/>
      <c r="EG43" s="330"/>
      <c r="EH43" s="63" t="s">
        <v>257</v>
      </c>
      <c r="EI43" s="63">
        <v>6</v>
      </c>
      <c r="EJ43" s="63">
        <v>3</v>
      </c>
      <c r="EK43" s="64" t="s">
        <v>282</v>
      </c>
      <c r="EL43" s="3" t="str">
        <f>CONCATENATE("10.0.",TEXT(((BITWISE_AND('IP Address (no mod)'!$D$20,EK$19)/4)+EJ43*8),"0"),".",TEXT((BITWISE_AND('IP Address (no mod)'!$D$21,EK$19)*64)+EG$36*10+EI43,"0"))</f>
        <v>10.0.27.208</v>
      </c>
      <c r="EM43" s="100">
        <f t="shared" si="16"/>
        <v>0</v>
      </c>
      <c r="EN43" s="95"/>
    </row>
    <row r="44" spans="1:144">
      <c r="A44" s="319"/>
      <c r="B44" s="93"/>
      <c r="C44" s="55"/>
      <c r="D44" s="330"/>
      <c r="E44" s="63" t="s">
        <v>259</v>
      </c>
      <c r="F44" s="63">
        <v>7</v>
      </c>
      <c r="G44" s="63">
        <v>3</v>
      </c>
      <c r="H44" s="64" t="s">
        <v>502</v>
      </c>
      <c r="I44" s="3" t="str">
        <f>IF(G44=99,"", CONCATENATE("10.0.",TEXT(((BITWISE_AND('IP Address (no mod)'!$D$20,H$19)/4)+G44*8),"0"),".",TEXT((BITWISE_AND('IP Address (no mod)'!$D$21,H$19)*64)+D$36*10+F44,"0")))</f>
        <v>10.0.24.81</v>
      </c>
      <c r="J44" s="100">
        <f t="shared" si="17"/>
        <v>0</v>
      </c>
      <c r="K44" s="98"/>
      <c r="L44" s="55"/>
      <c r="M44" s="330"/>
      <c r="N44" s="63" t="s">
        <v>259</v>
      </c>
      <c r="O44" s="63">
        <v>7</v>
      </c>
      <c r="P44" s="63">
        <v>3</v>
      </c>
      <c r="Q44" s="64" t="s">
        <v>284</v>
      </c>
      <c r="R44" s="3" t="str">
        <f>IF(P44=99,"", CONCATENATE("10.0.",TEXT(((BITWISE_AND('IP Address (no mod)'!$D$20,Q$19)/4)+P44*8),"0"),".",TEXT((BITWISE_AND('IP Address (no mod)'!$D$21,Q$19)*64)+M$36*10+O44,"0")))</f>
        <v>10.0.24.145</v>
      </c>
      <c r="S44" s="100">
        <f t="shared" si="18"/>
        <v>0</v>
      </c>
      <c r="T44" s="98"/>
      <c r="U44" s="55"/>
      <c r="V44" s="330"/>
      <c r="W44" s="63" t="s">
        <v>259</v>
      </c>
      <c r="X44" s="63">
        <v>7</v>
      </c>
      <c r="Y44" s="63">
        <v>99</v>
      </c>
      <c r="Z44" s="1"/>
      <c r="AA44" s="3" t="str">
        <f>IF(Y44=99,"", CONCATENATE("10.0.",TEXT(((BITWISE_AND('IP Address (no mod)'!$D$20,Z$19)/4)+Y44*8),"0"),".",TEXT((BITWISE_AND('IP Address (no mod)'!$D$21,Z$19)*64)+V$36*10+X44,"0")))</f>
        <v/>
      </c>
      <c r="AB44" s="100">
        <f t="shared" si="19"/>
        <v>0</v>
      </c>
      <c r="AC44" s="98"/>
      <c r="AD44" s="55"/>
      <c r="AE44" s="330"/>
      <c r="AF44" s="63" t="s">
        <v>259</v>
      </c>
      <c r="AG44" s="63">
        <v>7</v>
      </c>
      <c r="AH44" s="63">
        <v>3</v>
      </c>
      <c r="AI44" s="64" t="s">
        <v>285</v>
      </c>
      <c r="AJ44" s="3" t="str">
        <f>IF(AH44=99,"", CONCATENATE("10.0.",TEXT(((BITWISE_AND('IP Address (no mod)'!$D$20,AI$19)/4)+AH44*8),"0"),".",TEXT((BITWISE_AND('IP Address (no mod)'!$D$21,AI$19)*64)+AE$36*10+AG44,"0")))</f>
        <v>10.0.29.145</v>
      </c>
      <c r="AK44" s="100">
        <f t="shared" si="20"/>
        <v>0</v>
      </c>
      <c r="AL44" s="66"/>
      <c r="AM44" s="66"/>
      <c r="AN44" s="66"/>
      <c r="AO44" s="66"/>
      <c r="AP44" s="66"/>
      <c r="AQ44" s="66"/>
      <c r="AR44" s="59"/>
      <c r="AS44" s="98"/>
      <c r="AT44" s="55"/>
      <c r="AU44" s="330"/>
      <c r="AV44" s="63" t="s">
        <v>259</v>
      </c>
      <c r="AW44" s="63">
        <v>7</v>
      </c>
      <c r="AX44" s="63">
        <v>99</v>
      </c>
      <c r="AY44" s="1"/>
      <c r="AZ44" s="3" t="str">
        <f>IF(AX44=99,"", CONCATENATE("10.0.",TEXT(((BITWISE_AND('IP Address (no mod)'!$D$20,AY$19)/4)+AX44*8),"0"),".",TEXT((BITWISE_AND('IP Address (no mod)'!$D$21,AY$19)*64)+AU$36*10+AW44,"0")))</f>
        <v/>
      </c>
      <c r="BA44" s="100">
        <f t="shared" si="21"/>
        <v>0</v>
      </c>
      <c r="BB44" s="98"/>
      <c r="BC44" s="55"/>
      <c r="BD44" s="330"/>
      <c r="BE44" s="63" t="s">
        <v>259</v>
      </c>
      <c r="BF44" s="63">
        <v>7</v>
      </c>
      <c r="BG44" s="63">
        <v>3</v>
      </c>
      <c r="BH44" s="64" t="s">
        <v>284</v>
      </c>
      <c r="BI44" s="3" t="str">
        <f>IF(BG44=99,"", CONCATENATE("10.0.",TEXT(((BITWISE_AND('IP Address (no mod)'!$D$20,BH$19)/4)+BG44*8),"0"),".",TEXT((BITWISE_AND('IP Address (no mod)'!$D$21,BH$19)*64)+BD$36*10+BF44,"0")))</f>
        <v>10.0.25.145</v>
      </c>
      <c r="BJ44" s="100">
        <f t="shared" si="22"/>
        <v>0</v>
      </c>
      <c r="BK44" s="98"/>
      <c r="BL44" s="55"/>
      <c r="BM44" s="330"/>
      <c r="BN44" s="63" t="s">
        <v>259</v>
      </c>
      <c r="BO44" s="63">
        <v>7</v>
      </c>
      <c r="BP44" s="63">
        <v>99</v>
      </c>
      <c r="BQ44" s="1"/>
      <c r="BR44" s="3" t="str">
        <f>IF(BP44=99,"", CONCATENATE("10.0.",TEXT(((BITWISE_AND('IP Address (no mod)'!$D$20,BQ$19)/4)+BP44*8),"0"),".",TEXT((BITWISE_AND('IP Address (no mod)'!$D$21,BQ$19)*64)+BM$36*10+BO44,"0")))</f>
        <v/>
      </c>
      <c r="BS44" s="100">
        <f t="shared" si="23"/>
        <v>0</v>
      </c>
      <c r="BT44" s="98"/>
      <c r="BU44" s="55"/>
      <c r="BV44" s="330"/>
      <c r="BW44" s="63" t="s">
        <v>259</v>
      </c>
      <c r="BX44" s="63">
        <v>7</v>
      </c>
      <c r="BY44" s="63">
        <v>3</v>
      </c>
      <c r="BZ44" s="64" t="s">
        <v>284</v>
      </c>
      <c r="CA44" s="3" t="str">
        <f>IF(BY44=99,"", CONCATENATE("10.0.",TEXT(((BITWISE_AND('IP Address (no mod)'!$D$20,BZ$19)/4)+BY44*8),"0"),".",TEXT((BITWISE_AND('IP Address (no mod)'!$D$21,BZ$19)*64)+BV$36*10+BX44,"0")))</f>
        <v>10.0.26.17</v>
      </c>
      <c r="CB44" s="100">
        <f t="shared" si="24"/>
        <v>0</v>
      </c>
      <c r="CC44" s="98"/>
      <c r="CD44" s="55"/>
      <c r="CE44" s="330"/>
      <c r="CF44" s="63" t="s">
        <v>259</v>
      </c>
      <c r="CG44" s="63">
        <v>7</v>
      </c>
      <c r="CH44" s="63">
        <v>99</v>
      </c>
      <c r="CI44" s="1"/>
      <c r="CJ44" s="3" t="str">
        <f>IF(CH44=99,"", CONCATENATE("10.0.",TEXT(((BITWISE_AND('IP Address (no mod)'!$D$20,CI$19)/4)+CH44*8),"0"),".",TEXT((BITWISE_AND('IP Address (no mod)'!$D$21,CI$19)*64)+CE$36*10+CG44,"0")))</f>
        <v/>
      </c>
      <c r="CK44" s="100">
        <f t="shared" si="25"/>
        <v>0</v>
      </c>
      <c r="CL44" s="98"/>
      <c r="CM44" s="55"/>
      <c r="CN44" s="330"/>
      <c r="CO44" s="63" t="s">
        <v>259</v>
      </c>
      <c r="CP44" s="63">
        <v>7</v>
      </c>
      <c r="CQ44" s="63">
        <v>3</v>
      </c>
      <c r="CR44" s="64" t="s">
        <v>284</v>
      </c>
      <c r="CS44" s="3" t="str">
        <f>IF(CQ44=99,"", CONCATENATE("10.0.",TEXT(((BITWISE_AND('IP Address (no mod)'!$D$20,CR$19)/4)+CQ44*8),"0"),".",TEXT((BITWISE_AND('IP Address (no mod)'!$D$21,CR$19)*64)+CN$36*10+CP44,"0")))</f>
        <v>10.0.26.145</v>
      </c>
      <c r="CT44" s="100">
        <f t="shared" si="26"/>
        <v>0</v>
      </c>
      <c r="CU44" s="98"/>
      <c r="CV44" s="55"/>
      <c r="CW44" s="330"/>
      <c r="CX44" s="63" t="s">
        <v>259</v>
      </c>
      <c r="CY44" s="63">
        <v>7</v>
      </c>
      <c r="CZ44" s="63">
        <v>99</v>
      </c>
      <c r="DA44" s="1"/>
      <c r="DB44" s="3" t="str">
        <f>IF(CZ44=99,"", CONCATENATE("10.0.",TEXT(((BITWISE_AND('IP Address (no mod)'!$D$20,DA$19)/4)+CZ44*8),"0"),".",TEXT((BITWISE_AND('IP Address (no mod)'!$D$21,DA$19)*64)+CW$36*10+CY44,"0")))</f>
        <v/>
      </c>
      <c r="DC44" s="100">
        <f t="shared" si="27"/>
        <v>0</v>
      </c>
      <c r="DD44" s="98"/>
      <c r="DE44" s="55"/>
      <c r="DF44" s="330"/>
      <c r="DG44" s="63" t="s">
        <v>259</v>
      </c>
      <c r="DH44" s="63">
        <v>7</v>
      </c>
      <c r="DI44" s="63">
        <v>3</v>
      </c>
      <c r="DJ44" s="64" t="s">
        <v>284</v>
      </c>
      <c r="DK44" s="3" t="str">
        <f>IF(DI44=99,"", CONCATENATE("10.0.",TEXT(((BITWISE_AND('IP Address (no mod)'!$D$20,DJ$19)/4)+DI44*8),"0"),".",TEXT((BITWISE_AND('IP Address (no mod)'!$D$21,DJ$19)*64)+DF$36*10+DH44,"0")))</f>
        <v>10.0.27.17</v>
      </c>
      <c r="DL44" s="100">
        <f t="shared" si="28"/>
        <v>0</v>
      </c>
      <c r="DM44" s="98"/>
      <c r="DN44" s="55"/>
      <c r="DO44" s="330"/>
      <c r="DP44" s="63" t="s">
        <v>259</v>
      </c>
      <c r="DQ44" s="63">
        <v>7</v>
      </c>
      <c r="DR44" s="63">
        <v>99</v>
      </c>
      <c r="DS44" s="1"/>
      <c r="DT44" s="3" t="str">
        <f>IF(DR44=99,"", CONCATENATE("10.0.",TEXT(((BITWISE_AND('IP Address (no mod)'!$D$20,DS$19)/4)+DR44*8),"0"),".",TEXT((BITWISE_AND('IP Address (no mod)'!$D$21,DS$19)*64)+DO$36*10+DQ44,"0")))</f>
        <v/>
      </c>
      <c r="DU44" s="100">
        <f t="shared" si="29"/>
        <v>0</v>
      </c>
      <c r="DV44" s="98"/>
      <c r="DW44" s="55"/>
      <c r="DX44" s="330"/>
      <c r="DY44" s="63" t="s">
        <v>259</v>
      </c>
      <c r="DZ44" s="63">
        <v>7</v>
      </c>
      <c r="EA44" s="63">
        <v>3</v>
      </c>
      <c r="EB44" s="64" t="s">
        <v>284</v>
      </c>
      <c r="EC44" s="3" t="str">
        <f>IF(EA44=99,"", CONCATENATE("10.0.",TEXT(((BITWISE_AND('IP Address (no mod)'!$D$20,EB$19)/4)+EA44*8),"0"),".",TEXT((BITWISE_AND('IP Address (no mod)'!$D$21,EB$19)*64)+DX$36*10+DZ44,"0")))</f>
        <v>10.0.27.145</v>
      </c>
      <c r="ED44" s="100">
        <f t="shared" si="30"/>
        <v>0</v>
      </c>
      <c r="EE44" s="98"/>
      <c r="EF44" s="55"/>
      <c r="EG44" s="330"/>
      <c r="EH44" s="63" t="s">
        <v>259</v>
      </c>
      <c r="EI44" s="63">
        <v>7</v>
      </c>
      <c r="EJ44" s="63">
        <v>3</v>
      </c>
      <c r="EK44" s="64" t="s">
        <v>502</v>
      </c>
      <c r="EL44" s="3" t="str">
        <f>CONCATENATE("10.0.",TEXT(((BITWISE_AND('IP Address (no mod)'!$D$20,EK$19)/4)+EJ44*8),"0"),".",TEXT((BITWISE_AND('IP Address (no mod)'!$D$21,EK$19)*64)+EG$36*10+EI44,"0"))</f>
        <v>10.0.27.209</v>
      </c>
      <c r="EM44" s="100">
        <f t="shared" si="16"/>
        <v>0</v>
      </c>
      <c r="EN44" s="95"/>
    </row>
    <row r="45" spans="1:144">
      <c r="A45" s="319"/>
      <c r="B45" s="93"/>
      <c r="C45" s="55"/>
      <c r="D45" s="330"/>
      <c r="E45" s="8" t="s">
        <v>263</v>
      </c>
      <c r="F45" s="8">
        <v>8</v>
      </c>
      <c r="G45" s="8">
        <v>4</v>
      </c>
      <c r="H45" s="120" t="s">
        <v>286</v>
      </c>
      <c r="I45" s="5" t="str">
        <f>IF(G45=99,"", CONCATENATE("10.0.",TEXT(((BITWISE_AND('IP Address (no mod)'!$D$20,H$19)/4)+G45*8),"0"),".",TEXT((BITWISE_AND('IP Address (no mod)'!$D$21,H$19)*64)+D$36*10+F45,"0")))</f>
        <v>10.0.32.82</v>
      </c>
      <c r="J45" s="100">
        <f t="shared" si="17"/>
        <v>0</v>
      </c>
      <c r="K45" s="98"/>
      <c r="L45" s="55"/>
      <c r="M45" s="330"/>
      <c r="N45" s="8" t="s">
        <v>263</v>
      </c>
      <c r="O45" s="8">
        <v>8</v>
      </c>
      <c r="P45" s="8">
        <v>99</v>
      </c>
      <c r="Q45" s="2"/>
      <c r="R45" s="5" t="str">
        <f>IF(P45=99,"", CONCATENATE("10.0.",TEXT(((BITWISE_AND('IP Address (no mod)'!$D$20,Q$19)/4)+P45*8),"0"),".",TEXT((BITWISE_AND('IP Address (no mod)'!$D$21,Q$19)*64)+M$36*10+O45,"0")))</f>
        <v/>
      </c>
      <c r="S45" s="100">
        <f t="shared" si="18"/>
        <v>0</v>
      </c>
      <c r="T45" s="98"/>
      <c r="U45" s="55"/>
      <c r="V45" s="330"/>
      <c r="W45" s="8" t="s">
        <v>263</v>
      </c>
      <c r="X45" s="8">
        <v>8</v>
      </c>
      <c r="Y45" s="8">
        <v>99</v>
      </c>
      <c r="Z45" s="2"/>
      <c r="AA45" s="5" t="str">
        <f>IF(Y45=99,"", CONCATENATE("10.0.",TEXT(((BITWISE_AND('IP Address (no mod)'!$D$20,Z$19)/4)+Y45*8),"0"),".",TEXT((BITWISE_AND('IP Address (no mod)'!$D$21,Z$19)*64)+V$36*10+X45,"0")))</f>
        <v/>
      </c>
      <c r="AB45" s="100">
        <f t="shared" si="19"/>
        <v>0</v>
      </c>
      <c r="AC45" s="98"/>
      <c r="AD45" s="55"/>
      <c r="AE45" s="330"/>
      <c r="AF45" s="8" t="s">
        <v>263</v>
      </c>
      <c r="AG45" s="8">
        <v>8</v>
      </c>
      <c r="AH45" s="8"/>
      <c r="AI45" s="2" t="s">
        <v>287</v>
      </c>
      <c r="AJ45" s="5"/>
      <c r="AK45" s="100">
        <f t="shared" si="20"/>
        <v>0</v>
      </c>
      <c r="AL45" s="66"/>
      <c r="AM45" s="1"/>
      <c r="AN45" s="1"/>
      <c r="AO45" s="1"/>
      <c r="AP45" s="1"/>
      <c r="AQ45" s="1"/>
      <c r="AR45" s="59"/>
      <c r="AS45" s="98"/>
      <c r="AT45" s="55"/>
      <c r="AU45" s="330"/>
      <c r="AV45" s="8" t="s">
        <v>263</v>
      </c>
      <c r="AW45" s="8">
        <v>8</v>
      </c>
      <c r="AX45" s="8">
        <v>99</v>
      </c>
      <c r="AY45" s="2"/>
      <c r="AZ45" s="5" t="str">
        <f>IF(AX45=99,"", CONCATENATE("10.0.",TEXT(((BITWISE_AND('IP Address (no mod)'!$D$20,AY$19)/4)+AX45*8),"0"),".",TEXT((BITWISE_AND('IP Address (no mod)'!$D$21,AY$19)*64)+AU$36*10+AW45,"0")))</f>
        <v/>
      </c>
      <c r="BA45" s="100">
        <f t="shared" si="21"/>
        <v>0</v>
      </c>
      <c r="BB45" s="98"/>
      <c r="BC45" s="55"/>
      <c r="BD45" s="330"/>
      <c r="BE45" s="8" t="s">
        <v>263</v>
      </c>
      <c r="BF45" s="8">
        <v>8</v>
      </c>
      <c r="BG45" s="8">
        <v>99</v>
      </c>
      <c r="BH45" s="2"/>
      <c r="BI45" s="5" t="str">
        <f>IF(BG45=99,"", CONCATENATE("10.0.",TEXT(((BITWISE_AND('IP Address (no mod)'!$D$20,BH$19)/4)+BG45*8),"0"),".",TEXT((BITWISE_AND('IP Address (no mod)'!$D$21,BH$19)*64)+BD$36*10+BF45,"0")))</f>
        <v/>
      </c>
      <c r="BJ45" s="100">
        <f t="shared" si="22"/>
        <v>0</v>
      </c>
      <c r="BK45" s="98"/>
      <c r="BL45" s="55"/>
      <c r="BM45" s="330"/>
      <c r="BN45" s="8" t="s">
        <v>263</v>
      </c>
      <c r="BO45" s="8">
        <v>8</v>
      </c>
      <c r="BP45" s="8">
        <v>99</v>
      </c>
      <c r="BQ45" s="2"/>
      <c r="BR45" s="5" t="str">
        <f>IF(BP45=99,"", CONCATENATE("10.0.",TEXT(((BITWISE_AND('IP Address (no mod)'!$D$20,BQ$19)/4)+BP45*8),"0"),".",TEXT((BITWISE_AND('IP Address (no mod)'!$D$21,BQ$19)*64)+BM$36*10+BO45,"0")))</f>
        <v/>
      </c>
      <c r="BS45" s="100">
        <f t="shared" si="23"/>
        <v>0</v>
      </c>
      <c r="BT45" s="98"/>
      <c r="BU45" s="55"/>
      <c r="BV45" s="330"/>
      <c r="BW45" s="8" t="s">
        <v>263</v>
      </c>
      <c r="BX45" s="8">
        <v>8</v>
      </c>
      <c r="BY45" s="8">
        <v>99</v>
      </c>
      <c r="BZ45" s="2"/>
      <c r="CA45" s="5" t="str">
        <f>IF(BY45=99,"", CONCATENATE("10.0.",TEXT(((BITWISE_AND('IP Address (no mod)'!$D$20,BZ$19)/4)+BY45*8),"0"),".",TEXT((BITWISE_AND('IP Address (no mod)'!$D$21,BZ$19)*64)+BV$36*10+BX45,"0")))</f>
        <v/>
      </c>
      <c r="CB45" s="100">
        <f t="shared" si="24"/>
        <v>0</v>
      </c>
      <c r="CC45" s="98"/>
      <c r="CD45" s="55"/>
      <c r="CE45" s="330"/>
      <c r="CF45" s="8" t="s">
        <v>263</v>
      </c>
      <c r="CG45" s="8">
        <v>8</v>
      </c>
      <c r="CH45" s="8">
        <v>99</v>
      </c>
      <c r="CI45" s="2"/>
      <c r="CJ45" s="5" t="str">
        <f>IF(CH45=99,"", CONCATENATE("10.0.",TEXT(((BITWISE_AND('IP Address (no mod)'!$D$20,CI$19)/4)+CH45*8),"0"),".",TEXT((BITWISE_AND('IP Address (no mod)'!$D$21,CI$19)*64)+CE$36*10+CG45,"0")))</f>
        <v/>
      </c>
      <c r="CK45" s="100">
        <f t="shared" si="25"/>
        <v>0</v>
      </c>
      <c r="CL45" s="98"/>
      <c r="CM45" s="55"/>
      <c r="CN45" s="330"/>
      <c r="CO45" s="8" t="s">
        <v>263</v>
      </c>
      <c r="CP45" s="8">
        <v>8</v>
      </c>
      <c r="CQ45" s="8">
        <v>99</v>
      </c>
      <c r="CR45" s="2"/>
      <c r="CS45" s="5" t="str">
        <f>IF(CQ45=99,"", CONCATENATE("10.0.",TEXT(((BITWISE_AND('IP Address (no mod)'!$D$20,CR$19)/4)+CQ45*8),"0"),".",TEXT((BITWISE_AND('IP Address (no mod)'!$D$21,CR$19)*64)+CN$36*10+CP45,"0")))</f>
        <v/>
      </c>
      <c r="CT45" s="100">
        <f t="shared" si="26"/>
        <v>0</v>
      </c>
      <c r="CU45" s="98"/>
      <c r="CV45" s="55"/>
      <c r="CW45" s="330"/>
      <c r="CX45" s="8" t="s">
        <v>263</v>
      </c>
      <c r="CY45" s="8">
        <v>8</v>
      </c>
      <c r="CZ45" s="8">
        <v>99</v>
      </c>
      <c r="DA45" s="2"/>
      <c r="DB45" s="5" t="str">
        <f>IF(CZ45=99,"", CONCATENATE("10.0.",TEXT(((BITWISE_AND('IP Address (no mod)'!$D$20,DA$19)/4)+CZ45*8),"0"),".",TEXT((BITWISE_AND('IP Address (no mod)'!$D$21,DA$19)*64)+CW$36*10+CY45,"0")))</f>
        <v/>
      </c>
      <c r="DC45" s="100">
        <f t="shared" si="27"/>
        <v>0</v>
      </c>
      <c r="DD45" s="98"/>
      <c r="DE45" s="55"/>
      <c r="DF45" s="330"/>
      <c r="DG45" s="8" t="s">
        <v>263</v>
      </c>
      <c r="DH45" s="8">
        <v>8</v>
      </c>
      <c r="DI45" s="8">
        <v>99</v>
      </c>
      <c r="DJ45" s="2"/>
      <c r="DK45" s="5" t="str">
        <f>IF(DI45=99,"", CONCATENATE("10.0.",TEXT(((BITWISE_AND('IP Address (no mod)'!$D$20,DJ$19)/4)+DI45*8),"0"),".",TEXT((BITWISE_AND('IP Address (no mod)'!$D$21,DJ$19)*64)+DF$36*10+DH45,"0")))</f>
        <v/>
      </c>
      <c r="DL45" s="100">
        <f t="shared" si="28"/>
        <v>0</v>
      </c>
      <c r="DM45" s="98"/>
      <c r="DN45" s="55"/>
      <c r="DO45" s="330"/>
      <c r="DP45" s="8" t="s">
        <v>263</v>
      </c>
      <c r="DQ45" s="8">
        <v>8</v>
      </c>
      <c r="DR45" s="8">
        <v>99</v>
      </c>
      <c r="DS45" s="2"/>
      <c r="DT45" s="5" t="str">
        <f>IF(DR45=99,"", CONCATENATE("10.0.",TEXT(((BITWISE_AND('IP Address (no mod)'!$D$20,DS$19)/4)+DR45*8),"0"),".",TEXT((BITWISE_AND('IP Address (no mod)'!$D$21,DS$19)*64)+DO$36*10+DQ45,"0")))</f>
        <v/>
      </c>
      <c r="DU45" s="100">
        <f t="shared" si="29"/>
        <v>0</v>
      </c>
      <c r="DV45" s="98"/>
      <c r="DW45" s="55"/>
      <c r="DX45" s="330"/>
      <c r="DY45" s="8" t="s">
        <v>263</v>
      </c>
      <c r="DZ45" s="8">
        <v>8</v>
      </c>
      <c r="EA45" s="8">
        <v>99</v>
      </c>
      <c r="EB45" s="2"/>
      <c r="EC45" s="5" t="str">
        <f>IF(EA45=99,"", CONCATENATE("10.0.",TEXT(((BITWISE_AND('IP Address (no mod)'!$D$20,EB$19)/4)+EA45*8),"0"),".",TEXT((BITWISE_AND('IP Address (no mod)'!$D$21,EB$19)*64)+DX$36*10+DZ45,"0")))</f>
        <v/>
      </c>
      <c r="ED45" s="100">
        <f t="shared" si="30"/>
        <v>0</v>
      </c>
      <c r="EE45" s="98"/>
      <c r="EF45" s="55"/>
      <c r="EG45" s="330"/>
      <c r="EH45" s="8" t="s">
        <v>263</v>
      </c>
      <c r="EI45" s="8">
        <v>8</v>
      </c>
      <c r="EJ45" s="8">
        <v>4</v>
      </c>
      <c r="EK45" s="120" t="s">
        <v>286</v>
      </c>
      <c r="EL45" s="5" t="str">
        <f>CONCATENATE("10.0.",TEXT(((BITWISE_AND('IP Address (no mod)'!$D$20,EK$19)/4)+EJ45*8),"0"),".",TEXT((BITWISE_AND('IP Address (no mod)'!$D$21,EK$19)*64)+EG$36*10+EI45,"0"))</f>
        <v>10.0.35.210</v>
      </c>
      <c r="EM45" s="100">
        <f t="shared" si="16"/>
        <v>0</v>
      </c>
      <c r="EN45" s="95"/>
    </row>
    <row r="46" spans="1:144" ht="15.75" thickBot="1">
      <c r="A46" s="319"/>
      <c r="B46" s="93"/>
      <c r="C46" s="55"/>
      <c r="D46" s="330"/>
      <c r="E46" s="9" t="s">
        <v>266</v>
      </c>
      <c r="F46" s="9">
        <v>9</v>
      </c>
      <c r="G46" s="9">
        <v>3</v>
      </c>
      <c r="H46" s="68" t="s">
        <v>288</v>
      </c>
      <c r="I46" s="7" t="str">
        <f>IF(G46=99,"", CONCATENATE("10.0.",TEXT(((BITWISE_AND('IP Address (no mod)'!$D$20,H$19)/4)+G46*8),"0"),".",TEXT((BITWISE_AND('IP Address (no mod)'!$D$21,H$19)*64)+D$36*10+F46,"0")))</f>
        <v>10.0.24.83</v>
      </c>
      <c r="J46" s="100">
        <f t="shared" si="17"/>
        <v>0</v>
      </c>
      <c r="K46" s="98"/>
      <c r="L46" s="55"/>
      <c r="M46" s="331"/>
      <c r="N46" s="9" t="s">
        <v>266</v>
      </c>
      <c r="O46" s="9">
        <v>9</v>
      </c>
      <c r="P46" s="9">
        <v>99</v>
      </c>
      <c r="Q46" s="68"/>
      <c r="R46" s="7" t="str">
        <f>IF(P46=99,"", CONCATENATE("10.0.",TEXT(((BITWISE_AND('IP Address (no mod)'!$D$20,Q$19)/4)+P46*8),"0"),".",TEXT((BITWISE_AND('IP Address (no mod)'!$D$21,Q$19)*64)+M$36*10+O46,"0")))</f>
        <v/>
      </c>
      <c r="S46" s="100">
        <f t="shared" si="18"/>
        <v>0</v>
      </c>
      <c r="T46" s="98"/>
      <c r="U46" s="55"/>
      <c r="V46" s="331"/>
      <c r="W46" s="9" t="s">
        <v>266</v>
      </c>
      <c r="X46" s="9">
        <v>9</v>
      </c>
      <c r="Y46" s="9">
        <v>99</v>
      </c>
      <c r="Z46" s="50"/>
      <c r="AA46" s="7" t="str">
        <f>IF(Y46=99,"", CONCATENATE("10.0.",TEXT(((BITWISE_AND('IP Address (no mod)'!$D$20,Z$19)/4)+Y46*8),"0"),".",TEXT((BITWISE_AND('IP Address (no mod)'!$D$21,Z$19)*64)+V$36*10+X46,"0")))</f>
        <v/>
      </c>
      <c r="AB46" s="100">
        <f t="shared" si="19"/>
        <v>0</v>
      </c>
      <c r="AC46" s="98"/>
      <c r="AD46" s="69"/>
      <c r="AE46" s="331"/>
      <c r="AF46" s="9" t="s">
        <v>266</v>
      </c>
      <c r="AG46" s="9">
        <v>9</v>
      </c>
      <c r="AH46" s="9">
        <v>99</v>
      </c>
      <c r="AI46" s="50"/>
      <c r="AJ46" s="7" t="str">
        <f>IF(AH46=99,"", CONCATENATE("10.0.",TEXT(((BITWISE_AND('IP Address (no mod)'!$D$20,AI$19)/4)+AH46*8),"0"),".",TEXT((BITWISE_AND('IP Address (no mod)'!$D$21,AI$19)*64)+AE$36*10+AG46,"0")))</f>
        <v/>
      </c>
      <c r="AK46" s="100">
        <f t="shared" si="20"/>
        <v>0</v>
      </c>
      <c r="AL46" s="66"/>
      <c r="AM46" s="1"/>
      <c r="AN46" s="1"/>
      <c r="AO46" s="1"/>
      <c r="AP46" s="1"/>
      <c r="AQ46" s="1"/>
      <c r="AR46" s="71"/>
      <c r="AS46" s="98"/>
      <c r="AT46" s="55"/>
      <c r="AU46" s="331"/>
      <c r="AV46" s="9" t="s">
        <v>266</v>
      </c>
      <c r="AW46" s="9">
        <v>9</v>
      </c>
      <c r="AX46" s="9">
        <v>99</v>
      </c>
      <c r="AY46" s="50"/>
      <c r="AZ46" s="7" t="str">
        <f>IF(AX46=99,"", CONCATENATE("10.0.",TEXT(((BITWISE_AND('IP Address (no mod)'!$D$20,AY$19)/4)+AX46*8),"0"),".",TEXT((BITWISE_AND('IP Address (no mod)'!$D$21,AY$19)*64)+AU$36*10+AW46,"0")))</f>
        <v/>
      </c>
      <c r="BA46" s="100">
        <f t="shared" si="21"/>
        <v>0</v>
      </c>
      <c r="BB46" s="98"/>
      <c r="BC46" s="55"/>
      <c r="BD46" s="331"/>
      <c r="BE46" s="9" t="s">
        <v>266</v>
      </c>
      <c r="BF46" s="9">
        <v>9</v>
      </c>
      <c r="BG46" s="9">
        <v>99</v>
      </c>
      <c r="BH46" s="68"/>
      <c r="BI46" s="7" t="str">
        <f>IF(BG46=99,"", CONCATENATE("10.0.",TEXT(((BITWISE_AND('IP Address (no mod)'!$D$20,BH$19)/4)+BG46*8),"0"),".",TEXT((BITWISE_AND('IP Address (no mod)'!$D$21,BH$19)*64)+BD$36*10+BF46,"0")))</f>
        <v/>
      </c>
      <c r="BJ46" s="100">
        <f t="shared" si="22"/>
        <v>0</v>
      </c>
      <c r="BK46" s="98"/>
      <c r="BL46" s="55"/>
      <c r="BM46" s="331"/>
      <c r="BN46" s="9" t="s">
        <v>266</v>
      </c>
      <c r="BO46" s="9">
        <v>9</v>
      </c>
      <c r="BP46" s="9">
        <v>99</v>
      </c>
      <c r="BQ46" s="50"/>
      <c r="BR46" s="7" t="str">
        <f>IF(BP46=99,"", CONCATENATE("10.0.",TEXT(((BITWISE_AND('IP Address (no mod)'!$D$20,BQ$19)/4)+BP46*8),"0"),".",TEXT((BITWISE_AND('IP Address (no mod)'!$D$21,BQ$19)*64)+BM$36*10+BO46,"0")))</f>
        <v/>
      </c>
      <c r="BS46" s="100">
        <f t="shared" si="23"/>
        <v>0</v>
      </c>
      <c r="BT46" s="98"/>
      <c r="BU46" s="55"/>
      <c r="BV46" s="331"/>
      <c r="BW46" s="9" t="s">
        <v>266</v>
      </c>
      <c r="BX46" s="9">
        <v>9</v>
      </c>
      <c r="BY46" s="9">
        <v>99</v>
      </c>
      <c r="BZ46" s="68"/>
      <c r="CA46" s="7" t="str">
        <f>IF(BY46=99,"", CONCATENATE("10.0.",TEXT(((BITWISE_AND('IP Address (no mod)'!$D$20,BZ$19)/4)+BY46*8),"0"),".",TEXT((BITWISE_AND('IP Address (no mod)'!$D$21,BZ$19)*64)+BV$36*10+BX46,"0")))</f>
        <v/>
      </c>
      <c r="CB46" s="100">
        <f t="shared" si="24"/>
        <v>0</v>
      </c>
      <c r="CC46" s="98"/>
      <c r="CD46" s="55"/>
      <c r="CE46" s="331"/>
      <c r="CF46" s="9" t="s">
        <v>266</v>
      </c>
      <c r="CG46" s="9">
        <v>9</v>
      </c>
      <c r="CH46" s="9">
        <v>99</v>
      </c>
      <c r="CI46" s="50"/>
      <c r="CJ46" s="7" t="str">
        <f>IF(CH46=99,"", CONCATENATE("10.0.",TEXT(((BITWISE_AND('IP Address (no mod)'!$D$20,CI$19)/4)+CH46*8),"0"),".",TEXT((BITWISE_AND('IP Address (no mod)'!$D$21,CI$19)*64)+CE$36*10+CG46,"0")))</f>
        <v/>
      </c>
      <c r="CK46" s="100">
        <f t="shared" si="25"/>
        <v>0</v>
      </c>
      <c r="CL46" s="98"/>
      <c r="CM46" s="55"/>
      <c r="CN46" s="331"/>
      <c r="CO46" s="9" t="s">
        <v>266</v>
      </c>
      <c r="CP46" s="9">
        <v>9</v>
      </c>
      <c r="CQ46" s="9">
        <v>99</v>
      </c>
      <c r="CR46" s="68"/>
      <c r="CS46" s="7" t="str">
        <f>IF(CQ46=99,"", CONCATENATE("10.0.",TEXT(((BITWISE_AND('IP Address (no mod)'!$D$20,CR$19)/4)+CQ46*8),"0"),".",TEXT((BITWISE_AND('IP Address (no mod)'!$D$21,CR$19)*64)+CN$36*10+CP46,"0")))</f>
        <v/>
      </c>
      <c r="CT46" s="100">
        <f t="shared" si="26"/>
        <v>0</v>
      </c>
      <c r="CU46" s="98"/>
      <c r="CV46" s="55"/>
      <c r="CW46" s="331"/>
      <c r="CX46" s="9" t="s">
        <v>266</v>
      </c>
      <c r="CY46" s="9">
        <v>9</v>
      </c>
      <c r="CZ46" s="9">
        <v>99</v>
      </c>
      <c r="DA46" s="50"/>
      <c r="DB46" s="7" t="str">
        <f>IF(CZ46=99,"", CONCATENATE("10.0.",TEXT(((BITWISE_AND('IP Address (no mod)'!$D$20,DA$19)/4)+CZ46*8),"0"),".",TEXT((BITWISE_AND('IP Address (no mod)'!$D$21,DA$19)*64)+CW$36*10+CY46,"0")))</f>
        <v/>
      </c>
      <c r="DC46" s="100">
        <f t="shared" si="27"/>
        <v>0</v>
      </c>
      <c r="DD46" s="98"/>
      <c r="DE46" s="55"/>
      <c r="DF46" s="331"/>
      <c r="DG46" s="9" t="s">
        <v>266</v>
      </c>
      <c r="DH46" s="9">
        <v>9</v>
      </c>
      <c r="DI46" s="9">
        <v>99</v>
      </c>
      <c r="DJ46" s="68"/>
      <c r="DK46" s="7" t="str">
        <f>IF(DI46=99,"", CONCATENATE("10.0.",TEXT(((BITWISE_AND('IP Address (no mod)'!$D$20,DJ$19)/4)+DI46*8),"0"),".",TEXT((BITWISE_AND('IP Address (no mod)'!$D$21,DJ$19)*64)+DF$36*10+DH46,"0")))</f>
        <v/>
      </c>
      <c r="DL46" s="100">
        <f t="shared" si="28"/>
        <v>0</v>
      </c>
      <c r="DM46" s="98"/>
      <c r="DN46" s="55"/>
      <c r="DO46" s="331"/>
      <c r="DP46" s="9" t="s">
        <v>266</v>
      </c>
      <c r="DQ46" s="9">
        <v>9</v>
      </c>
      <c r="DR46" s="9">
        <v>99</v>
      </c>
      <c r="DS46" s="50"/>
      <c r="DT46" s="7" t="str">
        <f>IF(DR46=99,"", CONCATENATE("10.0.",TEXT(((BITWISE_AND('IP Address (no mod)'!$D$20,DS$19)/4)+DR46*8),"0"),".",TEXT((BITWISE_AND('IP Address (no mod)'!$D$21,DS$19)*64)+DO$36*10+DQ46,"0")))</f>
        <v/>
      </c>
      <c r="DU46" s="100">
        <f t="shared" si="29"/>
        <v>0</v>
      </c>
      <c r="DV46" s="98"/>
      <c r="DW46" s="55"/>
      <c r="DX46" s="331"/>
      <c r="DY46" s="9" t="s">
        <v>266</v>
      </c>
      <c r="DZ46" s="9">
        <v>9</v>
      </c>
      <c r="EA46" s="9">
        <v>99</v>
      </c>
      <c r="EB46" s="68"/>
      <c r="EC46" s="7" t="str">
        <f>IF(EA46=99,"", CONCATENATE("10.0.",TEXT(((BITWISE_AND('IP Address (no mod)'!$D$20,EB$19)/4)+EA46*8),"0"),".",TEXT((BITWISE_AND('IP Address (no mod)'!$D$21,EB$19)*64)+DX$36*10+DZ46,"0")))</f>
        <v/>
      </c>
      <c r="ED46" s="100">
        <f t="shared" si="30"/>
        <v>0</v>
      </c>
      <c r="EE46" s="98"/>
      <c r="EF46" s="55"/>
      <c r="EG46" s="330"/>
      <c r="EH46" s="9" t="s">
        <v>266</v>
      </c>
      <c r="EI46" s="9">
        <v>9</v>
      </c>
      <c r="EJ46" s="9">
        <v>3</v>
      </c>
      <c r="EK46" s="68" t="s">
        <v>288</v>
      </c>
      <c r="EL46" s="7" t="str">
        <f>CONCATENATE("10.0.",TEXT(((BITWISE_AND('IP Address (no mod)'!$D$20,EK$19)/4)+EJ46*8),"0"),".",TEXT((BITWISE_AND('IP Address (no mod)'!$D$21,EK$19)*64)+EG$36*10+EI46,"0"))</f>
        <v>10.0.27.211</v>
      </c>
      <c r="EM46" s="100">
        <f t="shared" si="16"/>
        <v>0</v>
      </c>
      <c r="EN46" s="95"/>
    </row>
    <row r="47" spans="1:144">
      <c r="A47" s="319"/>
      <c r="B47" s="93"/>
      <c r="C47" s="69"/>
      <c r="D47" s="330"/>
      <c r="E47" s="76"/>
      <c r="F47" s="76">
        <v>10</v>
      </c>
      <c r="G47" s="76">
        <v>1</v>
      </c>
      <c r="H47" s="1" t="s">
        <v>289</v>
      </c>
      <c r="I47" s="3" t="str">
        <f>IF(G47=99,"", CONCATENATE("10.0.",TEXT(((BITWISE_AND('IP Address (no mod)'!$D$20,H$19)/4)+G47*8),"0"),".",TEXT((BITWISE_AND('IP Address (no mod)'!$D$21,H$19)*64)+D$36*10+F47,"0")))</f>
        <v>10.0.8.84</v>
      </c>
      <c r="J47" s="100">
        <f t="shared" si="17"/>
        <v>0</v>
      </c>
      <c r="K47" s="98"/>
      <c r="L47" s="98"/>
      <c r="M47" s="98"/>
      <c r="N47" s="98"/>
      <c r="O47" s="98"/>
      <c r="P47" s="98"/>
      <c r="Q47" s="98"/>
      <c r="R47" s="98"/>
      <c r="S47" s="98"/>
      <c r="T47" s="98"/>
      <c r="U47" s="98"/>
      <c r="V47" s="98"/>
      <c r="W47" s="98"/>
      <c r="X47" s="98"/>
      <c r="Y47" s="98"/>
      <c r="Z47" s="98"/>
      <c r="AA47" s="98"/>
      <c r="AB47" s="98"/>
      <c r="AC47" s="98"/>
      <c r="AD47" s="98"/>
      <c r="AE47" s="98"/>
      <c r="AF47" s="98"/>
      <c r="AG47" s="98"/>
      <c r="AH47" s="98"/>
      <c r="AI47" s="98"/>
      <c r="AJ47" s="98"/>
      <c r="AK47" s="98"/>
      <c r="AL47" s="98"/>
      <c r="AM47" s="98"/>
      <c r="AN47" s="98"/>
      <c r="AO47" s="98"/>
      <c r="AP47" s="98"/>
      <c r="AQ47" s="98"/>
      <c r="AR47" s="98"/>
      <c r="AS47" s="98"/>
      <c r="AT47" s="98"/>
      <c r="AU47" s="98"/>
      <c r="AV47" s="98"/>
      <c r="AW47" s="98"/>
      <c r="AX47" s="98"/>
      <c r="AY47" s="98"/>
      <c r="AZ47" s="98"/>
      <c r="BA47" s="98"/>
      <c r="BB47" s="98"/>
      <c r="BC47" s="98"/>
      <c r="BD47" s="98"/>
      <c r="BE47" s="98"/>
      <c r="BF47" s="98"/>
      <c r="BG47" s="98"/>
      <c r="BH47" s="98"/>
      <c r="BI47" s="98"/>
      <c r="BJ47" s="98"/>
      <c r="BK47" s="98"/>
      <c r="BL47" s="98"/>
      <c r="BM47" s="98"/>
      <c r="BN47" s="98"/>
      <c r="BO47" s="98"/>
      <c r="BP47" s="98"/>
      <c r="BQ47" s="98"/>
      <c r="BR47" s="98"/>
      <c r="BS47" s="98"/>
      <c r="BT47" s="98"/>
      <c r="BU47" s="98"/>
      <c r="BV47" s="98"/>
      <c r="BW47" s="98"/>
      <c r="BX47" s="98"/>
      <c r="BY47" s="98"/>
      <c r="BZ47" s="98"/>
      <c r="CA47" s="98"/>
      <c r="CB47" s="98"/>
      <c r="CC47" s="98"/>
      <c r="CD47" s="98"/>
      <c r="CE47" s="98"/>
      <c r="CF47" s="98"/>
      <c r="CG47" s="98"/>
      <c r="CH47" s="98"/>
      <c r="CI47" s="98"/>
      <c r="CJ47" s="98"/>
      <c r="CK47" s="98"/>
      <c r="CL47" s="98"/>
      <c r="CM47" s="98"/>
      <c r="CN47" s="98"/>
      <c r="CO47" s="98"/>
      <c r="CP47" s="98"/>
      <c r="CQ47" s="98"/>
      <c r="CR47" s="98"/>
      <c r="CS47" s="98"/>
      <c r="CT47" s="98"/>
      <c r="CU47" s="98"/>
      <c r="CV47" s="98"/>
      <c r="CW47" s="98"/>
      <c r="CX47" s="98"/>
      <c r="CY47" s="98"/>
      <c r="CZ47" s="98"/>
      <c r="DA47" s="98"/>
      <c r="DB47" s="98"/>
      <c r="DC47" s="98"/>
      <c r="DD47" s="98"/>
      <c r="DE47" s="98"/>
      <c r="DF47" s="98"/>
      <c r="DG47" s="98"/>
      <c r="DH47" s="98"/>
      <c r="DI47" s="98"/>
      <c r="DJ47" s="98"/>
      <c r="DK47" s="98"/>
      <c r="DL47" s="98"/>
      <c r="DM47" s="98"/>
      <c r="DN47" s="98"/>
      <c r="DO47" s="98"/>
      <c r="DP47" s="98"/>
      <c r="DQ47" s="98"/>
      <c r="DR47" s="98"/>
      <c r="DS47" s="98"/>
      <c r="DT47" s="98"/>
      <c r="DU47" s="98"/>
      <c r="DV47" s="98"/>
      <c r="DW47" s="98"/>
      <c r="DX47" s="98"/>
      <c r="DY47" s="98"/>
      <c r="DZ47" s="98"/>
      <c r="EA47" s="98"/>
      <c r="EB47" s="98"/>
      <c r="EC47" s="98"/>
      <c r="ED47" s="98"/>
      <c r="EE47" s="98"/>
      <c r="EF47" s="69"/>
      <c r="EG47" s="330"/>
      <c r="EH47" s="76"/>
      <c r="EI47" s="76">
        <v>10</v>
      </c>
      <c r="EJ47" s="76">
        <v>1</v>
      </c>
      <c r="EK47" s="1" t="s">
        <v>289</v>
      </c>
      <c r="EL47" s="3" t="str">
        <f>IF(EJ47=99,"", CONCATENATE("10.0.",TEXT(((BITWISE_AND('IP Address (no mod)'!$D$20,EK$19)/4)+EJ47*8),"0"),".",TEXT((BITWISE_AND('IP Address (no mod)'!$D$21,EK$19)*64)+EG$36*10+EI47,"0")))</f>
        <v>10.0.11.212</v>
      </c>
      <c r="EM47" s="100">
        <f t="shared" ref="EM47:EM55" si="31">IF(EL47="",0,COUNTIF($I$23:$I$115,EL47)+COUNTIF($R$23:$R$115,EL47)+COUNTIF($AA$23:$AA$115,EL47)+COUNTIF($AJ$23:$AJ$115,EL47)+COUNTIF($AQ$23:$AQ$115,EL47)+COUNTIF($AZ$23:$AZ$115,EL47)+COUNTIF($BI$23:$BI$115,EL47)+COUNTIF($BR$23:$BR$115,EL47)+COUNTIF($CA$23:$CA$115,EL47)+COUNTIF($CJ$23:$CJ$115,EL47)+COUNTIF($CS$23:$CS$115,EL47)+COUNTIF($DB$23:$DB$115,EL47)+COUNTIF($DK$23:$DK$115,EL47)+COUNTIF($DT$23:$DT$115,EL47)+COUNTIF($EC$23:$EC$115,EL47)+COUNTIF($EL$23:$EL$115,EL47)+COUNTIF($EU$23:$EU$115,EL47)+COUNTIF($FD$23:$FD$115,EL47)+COUNTIF($FM$23:$FM$115,EL47)+COUNTIF($FV$23:$FV$115,EL47)+COUNTIF($GE$23:$GE$115,EL47)+COUNTIF($GN$23:$GN$115,EL47)-1)</f>
        <v>0</v>
      </c>
      <c r="EN47" s="98"/>
    </row>
    <row r="48" spans="1:144">
      <c r="A48" s="319"/>
      <c r="B48" s="93"/>
      <c r="C48" s="69"/>
      <c r="D48" s="330"/>
      <c r="E48" s="76"/>
      <c r="F48" s="76">
        <v>10</v>
      </c>
      <c r="G48" s="76">
        <v>2</v>
      </c>
      <c r="H48" s="1" t="s">
        <v>290</v>
      </c>
      <c r="I48" s="3" t="str">
        <f>IF(G48=99,"", CONCATENATE("10.0.",TEXT(((BITWISE_AND('IP Address (no mod)'!$D$20,H$19)/4)+G48*8),"0"),".",TEXT((BITWISE_AND('IP Address (no mod)'!$D$21,H$19)*64)+D$36*10+F48,"0")))</f>
        <v>10.0.16.84</v>
      </c>
      <c r="J48" s="100">
        <f t="shared" si="17"/>
        <v>0</v>
      </c>
      <c r="K48" s="98"/>
      <c r="L48" s="98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  <c r="X48" s="98"/>
      <c r="Y48" s="98"/>
      <c r="Z48" s="98"/>
      <c r="AA48" s="98"/>
      <c r="AB48" s="98"/>
      <c r="AC48" s="98"/>
      <c r="AD48" s="98"/>
      <c r="AE48" s="98"/>
      <c r="AF48" s="98"/>
      <c r="AG48" s="98"/>
      <c r="AH48" s="98"/>
      <c r="AI48" s="98"/>
      <c r="AJ48" s="98"/>
      <c r="AK48" s="98"/>
      <c r="AL48" s="98"/>
      <c r="AM48" s="98"/>
      <c r="AN48" s="98"/>
      <c r="AO48" s="98"/>
      <c r="AP48" s="98"/>
      <c r="AQ48" s="98"/>
      <c r="AR48" s="98"/>
      <c r="AS48" s="98"/>
      <c r="AT48" s="98"/>
      <c r="AU48" s="98"/>
      <c r="AV48" s="98"/>
      <c r="AW48" s="98"/>
      <c r="AX48" s="98"/>
      <c r="AY48" s="98"/>
      <c r="AZ48" s="98"/>
      <c r="BA48" s="98"/>
      <c r="BB48" s="98"/>
      <c r="BC48" s="98"/>
      <c r="BD48" s="98"/>
      <c r="BE48" s="98"/>
      <c r="BF48" s="98"/>
      <c r="BG48" s="98"/>
      <c r="BH48" s="98"/>
      <c r="BI48" s="98"/>
      <c r="BJ48" s="98"/>
      <c r="BK48" s="98"/>
      <c r="BL48" s="98"/>
      <c r="BM48" s="98"/>
      <c r="BN48" s="98"/>
      <c r="BO48" s="98"/>
      <c r="BP48" s="98"/>
      <c r="BQ48" s="98"/>
      <c r="BR48" s="98"/>
      <c r="BS48" s="98"/>
      <c r="BT48" s="98"/>
      <c r="BU48" s="98"/>
      <c r="BV48" s="98"/>
      <c r="BW48" s="98"/>
      <c r="BX48" s="98"/>
      <c r="BY48" s="98"/>
      <c r="BZ48" s="98"/>
      <c r="CA48" s="98"/>
      <c r="CB48" s="98"/>
      <c r="CC48" s="98"/>
      <c r="CD48" s="98"/>
      <c r="CE48" s="98"/>
      <c r="CF48" s="98"/>
      <c r="CG48" s="98"/>
      <c r="CH48" s="98"/>
      <c r="CI48" s="98"/>
      <c r="CJ48" s="98"/>
      <c r="CK48" s="98"/>
      <c r="CL48" s="98"/>
      <c r="CM48" s="98"/>
      <c r="CN48" s="98"/>
      <c r="CO48" s="98"/>
      <c r="CP48" s="98"/>
      <c r="CQ48" s="98"/>
      <c r="CR48" s="98"/>
      <c r="CS48" s="98"/>
      <c r="CT48" s="98"/>
      <c r="CU48" s="98"/>
      <c r="CV48" s="98"/>
      <c r="CW48" s="98"/>
      <c r="CX48" s="98"/>
      <c r="CY48" s="98"/>
      <c r="CZ48" s="98"/>
      <c r="DA48" s="98"/>
      <c r="DB48" s="98"/>
      <c r="DC48" s="98"/>
      <c r="DD48" s="98"/>
      <c r="DE48" s="98"/>
      <c r="DF48" s="98"/>
      <c r="DG48" s="98"/>
      <c r="DH48" s="98"/>
      <c r="DI48" s="98"/>
      <c r="DJ48" s="98"/>
      <c r="DK48" s="98"/>
      <c r="DL48" s="98"/>
      <c r="DM48" s="98"/>
      <c r="DN48" s="98"/>
      <c r="DO48" s="98"/>
      <c r="DP48" s="98"/>
      <c r="DQ48" s="98"/>
      <c r="DR48" s="98"/>
      <c r="DS48" s="98"/>
      <c r="DT48" s="98"/>
      <c r="DU48" s="98"/>
      <c r="DV48" s="98"/>
      <c r="DW48" s="98"/>
      <c r="DX48" s="98"/>
      <c r="DY48" s="98"/>
      <c r="DZ48" s="98"/>
      <c r="EA48" s="98"/>
      <c r="EB48" s="98"/>
      <c r="EC48" s="98"/>
      <c r="ED48" s="98"/>
      <c r="EE48" s="98"/>
      <c r="EF48" s="69"/>
      <c r="EG48" s="330"/>
      <c r="EH48" s="76"/>
      <c r="EI48" s="76">
        <v>10</v>
      </c>
      <c r="EJ48" s="76">
        <v>2</v>
      </c>
      <c r="EK48" s="1" t="s">
        <v>290</v>
      </c>
      <c r="EL48" s="3" t="str">
        <f>IF(EJ48=99,"", CONCATENATE("10.0.",TEXT(((BITWISE_AND('IP Address (no mod)'!$D$20,EK$19)/4)+EJ48*8),"0"),".",TEXT((BITWISE_AND('IP Address (no mod)'!$D$21,EK$19)*64)+EG$36*10+EI48,"0")))</f>
        <v>10.0.19.212</v>
      </c>
      <c r="EM48" s="100">
        <f t="shared" si="31"/>
        <v>0</v>
      </c>
      <c r="EN48" s="98"/>
    </row>
    <row r="49" spans="1:144">
      <c r="A49" s="319"/>
      <c r="B49" s="93"/>
      <c r="C49" s="69"/>
      <c r="D49" s="330"/>
      <c r="E49" s="76"/>
      <c r="F49" s="76">
        <v>10</v>
      </c>
      <c r="G49" s="76">
        <v>3</v>
      </c>
      <c r="H49" s="1" t="s">
        <v>291</v>
      </c>
      <c r="I49" s="3" t="str">
        <f>IF(G49=99,"", CONCATENATE("10.0.",TEXT(((BITWISE_AND('IP Address (no mod)'!$D$20,H$19)/4)+G49*8),"0"),".",TEXT((BITWISE_AND('IP Address (no mod)'!$D$21,H$19)*64)+D$36*10+F49,"0")))</f>
        <v>10.0.24.84</v>
      </c>
      <c r="J49" s="100">
        <f t="shared" si="17"/>
        <v>0</v>
      </c>
      <c r="K49" s="98"/>
      <c r="L49" s="98"/>
      <c r="M49" s="98"/>
      <c r="N49" s="98"/>
      <c r="O49" s="98"/>
      <c r="P49" s="98"/>
      <c r="Q49" s="98"/>
      <c r="R49" s="98"/>
      <c r="S49" s="98"/>
      <c r="T49" s="98"/>
      <c r="U49" s="98"/>
      <c r="V49" s="98"/>
      <c r="W49" s="98"/>
      <c r="X49" s="98"/>
      <c r="Y49" s="98"/>
      <c r="Z49" s="98"/>
      <c r="AA49" s="98"/>
      <c r="AB49" s="98"/>
      <c r="AC49" s="98"/>
      <c r="AD49" s="98"/>
      <c r="AE49" s="98"/>
      <c r="AF49" s="98"/>
      <c r="AG49" s="98"/>
      <c r="AH49" s="98"/>
      <c r="AI49" s="98"/>
      <c r="AJ49" s="98"/>
      <c r="AK49" s="98"/>
      <c r="AL49" s="98"/>
      <c r="AM49" s="98"/>
      <c r="AN49" s="98"/>
      <c r="AO49" s="98"/>
      <c r="AP49" s="98"/>
      <c r="AQ49" s="98"/>
      <c r="AR49" s="98"/>
      <c r="AS49" s="98"/>
      <c r="AT49" s="98"/>
      <c r="AU49" s="98"/>
      <c r="AV49" s="98"/>
      <c r="AW49" s="98"/>
      <c r="AX49" s="98"/>
      <c r="AY49" s="98"/>
      <c r="AZ49" s="98"/>
      <c r="BA49" s="98"/>
      <c r="BB49" s="98"/>
      <c r="BC49" s="98"/>
      <c r="BD49" s="98"/>
      <c r="BE49" s="98"/>
      <c r="BF49" s="98"/>
      <c r="BG49" s="98"/>
      <c r="BH49" s="98"/>
      <c r="BI49" s="98"/>
      <c r="BJ49" s="98"/>
      <c r="BK49" s="98"/>
      <c r="BL49" s="98"/>
      <c r="BM49" s="98"/>
      <c r="BN49" s="98"/>
      <c r="BO49" s="98"/>
      <c r="BP49" s="98"/>
      <c r="BQ49" s="98"/>
      <c r="BR49" s="98"/>
      <c r="BS49" s="98"/>
      <c r="BT49" s="98"/>
      <c r="BU49" s="98"/>
      <c r="BV49" s="98"/>
      <c r="BW49" s="98"/>
      <c r="BX49" s="98"/>
      <c r="BY49" s="98"/>
      <c r="BZ49" s="98"/>
      <c r="CA49" s="98"/>
      <c r="CB49" s="98"/>
      <c r="CC49" s="98"/>
      <c r="CD49" s="98"/>
      <c r="CE49" s="98"/>
      <c r="CF49" s="98"/>
      <c r="CG49" s="98"/>
      <c r="CH49" s="98"/>
      <c r="CI49" s="98"/>
      <c r="CJ49" s="98"/>
      <c r="CK49" s="98"/>
      <c r="CL49" s="98"/>
      <c r="CM49" s="98"/>
      <c r="CN49" s="98"/>
      <c r="CO49" s="98"/>
      <c r="CP49" s="98"/>
      <c r="CQ49" s="98"/>
      <c r="CR49" s="98"/>
      <c r="CS49" s="98"/>
      <c r="CT49" s="98"/>
      <c r="CU49" s="98"/>
      <c r="CV49" s="98"/>
      <c r="CW49" s="98"/>
      <c r="CX49" s="98"/>
      <c r="CY49" s="98"/>
      <c r="CZ49" s="98"/>
      <c r="DA49" s="98"/>
      <c r="DB49" s="98"/>
      <c r="DC49" s="98"/>
      <c r="DD49" s="98"/>
      <c r="DE49" s="98"/>
      <c r="DF49" s="98"/>
      <c r="DG49" s="98"/>
      <c r="DH49" s="98"/>
      <c r="DI49" s="98"/>
      <c r="DJ49" s="98"/>
      <c r="DK49" s="98"/>
      <c r="DL49" s="98"/>
      <c r="DM49" s="98"/>
      <c r="DN49" s="98"/>
      <c r="DO49" s="98"/>
      <c r="DP49" s="98"/>
      <c r="DQ49" s="98"/>
      <c r="DR49" s="98"/>
      <c r="DS49" s="98"/>
      <c r="DT49" s="98"/>
      <c r="DU49" s="98"/>
      <c r="DV49" s="98"/>
      <c r="DW49" s="98"/>
      <c r="DX49" s="98"/>
      <c r="DY49" s="98"/>
      <c r="DZ49" s="98"/>
      <c r="EA49" s="98"/>
      <c r="EB49" s="98"/>
      <c r="EC49" s="98"/>
      <c r="ED49" s="98"/>
      <c r="EE49" s="98"/>
      <c r="EF49" s="69"/>
      <c r="EG49" s="330"/>
      <c r="EH49" s="76"/>
      <c r="EI49" s="76">
        <v>10</v>
      </c>
      <c r="EJ49" s="76">
        <v>3</v>
      </c>
      <c r="EK49" s="1" t="s">
        <v>291</v>
      </c>
      <c r="EL49" s="3" t="str">
        <f>IF(EJ49=99,"", CONCATENATE("10.0.",TEXT(((BITWISE_AND('IP Address (no mod)'!$D$20,EK$19)/4)+EJ49*8),"0"),".",TEXT((BITWISE_AND('IP Address (no mod)'!$D$21,EK$19)*64)+EG$36*10+EI49,"0")))</f>
        <v>10.0.27.212</v>
      </c>
      <c r="EM49" s="100">
        <f t="shared" si="31"/>
        <v>0</v>
      </c>
      <c r="EN49" s="98"/>
    </row>
    <row r="50" spans="1:144">
      <c r="A50" s="319"/>
      <c r="B50" s="93"/>
      <c r="C50" s="69"/>
      <c r="D50" s="330"/>
      <c r="E50" s="76"/>
      <c r="F50" s="76">
        <v>10</v>
      </c>
      <c r="G50" s="76">
        <v>4</v>
      </c>
      <c r="H50" s="1" t="s">
        <v>292</v>
      </c>
      <c r="I50" s="3" t="str">
        <f>IF(G50=99,"", CONCATENATE("10.0.",TEXT(((BITWISE_AND('IP Address (no mod)'!$D$20,H$19)/4)+G50*8),"0"),".",TEXT((BITWISE_AND('IP Address (no mod)'!$D$21,H$19)*64)+D$36*10+F50,"0")))</f>
        <v>10.0.32.84</v>
      </c>
      <c r="J50" s="100">
        <f t="shared" si="17"/>
        <v>0</v>
      </c>
      <c r="K50" s="98"/>
      <c r="L50" s="98"/>
      <c r="M50" s="98"/>
      <c r="N50" s="98"/>
      <c r="O50" s="98"/>
      <c r="P50" s="98"/>
      <c r="Q50" s="98"/>
      <c r="R50" s="98"/>
      <c r="S50" s="98"/>
      <c r="T50" s="98"/>
      <c r="U50" s="98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98"/>
      <c r="AH50" s="98"/>
      <c r="AI50" s="98"/>
      <c r="AJ50" s="98"/>
      <c r="AK50" s="98"/>
      <c r="AL50" s="98"/>
      <c r="AM50" s="98"/>
      <c r="AN50" s="98"/>
      <c r="AO50" s="98"/>
      <c r="AP50" s="98"/>
      <c r="AQ50" s="98"/>
      <c r="AR50" s="98"/>
      <c r="AS50" s="98"/>
      <c r="AT50" s="98"/>
      <c r="AU50" s="98"/>
      <c r="AV50" s="98"/>
      <c r="AW50" s="98"/>
      <c r="AX50" s="98"/>
      <c r="AY50" s="98"/>
      <c r="AZ50" s="98"/>
      <c r="BA50" s="98"/>
      <c r="BB50" s="98"/>
      <c r="BC50" s="98"/>
      <c r="BD50" s="98"/>
      <c r="BE50" s="98"/>
      <c r="BF50" s="98"/>
      <c r="BG50" s="98"/>
      <c r="BH50" s="98"/>
      <c r="BI50" s="98"/>
      <c r="BJ50" s="98"/>
      <c r="BK50" s="98"/>
      <c r="BL50" s="98"/>
      <c r="BM50" s="98"/>
      <c r="BN50" s="98"/>
      <c r="BO50" s="98"/>
      <c r="BP50" s="98"/>
      <c r="BQ50" s="98"/>
      <c r="BR50" s="98"/>
      <c r="BS50" s="98"/>
      <c r="BT50" s="98"/>
      <c r="BU50" s="98"/>
      <c r="BV50" s="98"/>
      <c r="BW50" s="98"/>
      <c r="BX50" s="98"/>
      <c r="BY50" s="98"/>
      <c r="BZ50" s="98"/>
      <c r="CA50" s="98"/>
      <c r="CB50" s="98"/>
      <c r="CC50" s="98"/>
      <c r="CD50" s="98"/>
      <c r="CE50" s="98"/>
      <c r="CF50" s="98"/>
      <c r="CG50" s="98"/>
      <c r="CH50" s="98"/>
      <c r="CI50" s="98"/>
      <c r="CJ50" s="98"/>
      <c r="CK50" s="98"/>
      <c r="CL50" s="98"/>
      <c r="CM50" s="98"/>
      <c r="CN50" s="98"/>
      <c r="CO50" s="98"/>
      <c r="CP50" s="98"/>
      <c r="CQ50" s="98"/>
      <c r="CR50" s="98"/>
      <c r="CS50" s="98"/>
      <c r="CT50" s="98"/>
      <c r="CU50" s="98"/>
      <c r="CV50" s="98"/>
      <c r="CW50" s="98"/>
      <c r="CX50" s="98"/>
      <c r="CY50" s="98"/>
      <c r="CZ50" s="98"/>
      <c r="DA50" s="98"/>
      <c r="DB50" s="98"/>
      <c r="DC50" s="98"/>
      <c r="DD50" s="98"/>
      <c r="DE50" s="98"/>
      <c r="DF50" s="98"/>
      <c r="DG50" s="98"/>
      <c r="DH50" s="98"/>
      <c r="DI50" s="98"/>
      <c r="DJ50" s="98"/>
      <c r="DK50" s="98"/>
      <c r="DL50" s="98"/>
      <c r="DM50" s="98"/>
      <c r="DN50" s="98"/>
      <c r="DO50" s="98"/>
      <c r="DP50" s="98"/>
      <c r="DQ50" s="98"/>
      <c r="DR50" s="98"/>
      <c r="DS50" s="98"/>
      <c r="DT50" s="98"/>
      <c r="DU50" s="98"/>
      <c r="DV50" s="98"/>
      <c r="DW50" s="98"/>
      <c r="DX50" s="98"/>
      <c r="DY50" s="98"/>
      <c r="DZ50" s="98"/>
      <c r="EA50" s="98"/>
      <c r="EB50" s="98"/>
      <c r="EC50" s="98"/>
      <c r="ED50" s="98"/>
      <c r="EE50" s="98"/>
      <c r="EF50" s="69"/>
      <c r="EG50" s="330"/>
      <c r="EH50" s="76"/>
      <c r="EI50" s="76">
        <v>10</v>
      </c>
      <c r="EJ50" s="76">
        <v>4</v>
      </c>
      <c r="EK50" s="1" t="s">
        <v>292</v>
      </c>
      <c r="EL50" s="3" t="str">
        <f>IF(EJ50=99,"", CONCATENATE("10.0.",TEXT(((BITWISE_AND('IP Address (no mod)'!$D$20,EK$19)/4)+EJ50*8),"0"),".",TEXT((BITWISE_AND('IP Address (no mod)'!$D$21,EK$19)*64)+EG$36*10+EI50,"0")))</f>
        <v>10.0.35.212</v>
      </c>
      <c r="EM50" s="100">
        <f t="shared" si="31"/>
        <v>0</v>
      </c>
      <c r="EN50" s="98"/>
    </row>
    <row r="51" spans="1:144">
      <c r="A51" s="319"/>
      <c r="B51" s="93"/>
      <c r="C51" s="69"/>
      <c r="D51" s="330"/>
      <c r="E51" s="76"/>
      <c r="F51" s="76"/>
      <c r="G51" s="76"/>
      <c r="H51" s="1" t="s">
        <v>293</v>
      </c>
      <c r="I51" s="4" t="s">
        <v>294</v>
      </c>
      <c r="J51" s="100">
        <f t="shared" si="17"/>
        <v>1</v>
      </c>
      <c r="K51" s="98"/>
      <c r="L51" s="98"/>
      <c r="M51" s="98"/>
      <c r="N51" s="98"/>
      <c r="O51" s="98"/>
      <c r="P51" s="98"/>
      <c r="Q51" s="98"/>
      <c r="R51" s="98"/>
      <c r="S51" s="98"/>
      <c r="T51" s="98"/>
      <c r="U51" s="98"/>
      <c r="V51" s="98"/>
      <c r="W51" s="98"/>
      <c r="X51" s="98"/>
      <c r="Y51" s="98"/>
      <c r="Z51" s="98"/>
      <c r="AA51" s="98"/>
      <c r="AB51" s="98"/>
      <c r="AC51" s="98"/>
      <c r="AD51" s="98"/>
      <c r="AE51" s="98"/>
      <c r="AF51" s="98"/>
      <c r="AG51" s="98"/>
      <c r="AH51" s="98"/>
      <c r="AI51" s="98"/>
      <c r="AJ51" s="98"/>
      <c r="AK51" s="98"/>
      <c r="AL51" s="98"/>
      <c r="AM51" s="98"/>
      <c r="AN51" s="98"/>
      <c r="AO51" s="98"/>
      <c r="AP51" s="98"/>
      <c r="AQ51" s="98"/>
      <c r="AR51" s="98"/>
      <c r="AS51" s="98"/>
      <c r="AT51" s="98"/>
      <c r="AU51" s="98"/>
      <c r="AV51" s="98"/>
      <c r="AW51" s="98"/>
      <c r="AX51" s="98"/>
      <c r="AY51" s="98"/>
      <c r="AZ51" s="98"/>
      <c r="BA51" s="98"/>
      <c r="BB51" s="98"/>
      <c r="BC51" s="98"/>
      <c r="BD51" s="98"/>
      <c r="BE51" s="98"/>
      <c r="BF51" s="98"/>
      <c r="BG51" s="98"/>
      <c r="BH51" s="98"/>
      <c r="BI51" s="98"/>
      <c r="BJ51" s="98"/>
      <c r="BK51" s="98"/>
      <c r="BL51" s="98"/>
      <c r="BM51" s="98"/>
      <c r="BN51" s="98"/>
      <c r="BO51" s="98"/>
      <c r="BP51" s="98"/>
      <c r="BQ51" s="98"/>
      <c r="BR51" s="98"/>
      <c r="BS51" s="98"/>
      <c r="BT51" s="98"/>
      <c r="BU51" s="98"/>
      <c r="BV51" s="98"/>
      <c r="BW51" s="98"/>
      <c r="BX51" s="98"/>
      <c r="BY51" s="98"/>
      <c r="BZ51" s="98"/>
      <c r="CA51" s="98"/>
      <c r="CB51" s="98"/>
      <c r="CC51" s="98"/>
      <c r="CD51" s="98"/>
      <c r="CE51" s="98"/>
      <c r="CF51" s="98"/>
      <c r="CG51" s="98"/>
      <c r="CH51" s="98"/>
      <c r="CI51" s="98"/>
      <c r="CJ51" s="98"/>
      <c r="CK51" s="98"/>
      <c r="CL51" s="98"/>
      <c r="CM51" s="98"/>
      <c r="CN51" s="98"/>
      <c r="CO51" s="98"/>
      <c r="CP51" s="98"/>
      <c r="CQ51" s="98"/>
      <c r="CR51" s="98"/>
      <c r="CS51" s="98"/>
      <c r="CT51" s="98"/>
      <c r="CU51" s="98"/>
      <c r="CV51" s="98"/>
      <c r="CW51" s="98"/>
      <c r="CX51" s="98"/>
      <c r="CY51" s="98"/>
      <c r="CZ51" s="98"/>
      <c r="DA51" s="98"/>
      <c r="DB51" s="98"/>
      <c r="DC51" s="98"/>
      <c r="DD51" s="98"/>
      <c r="DE51" s="98"/>
      <c r="DF51" s="98"/>
      <c r="DG51" s="98"/>
      <c r="DH51" s="98"/>
      <c r="DI51" s="98"/>
      <c r="DJ51" s="98"/>
      <c r="DK51" s="98"/>
      <c r="DL51" s="98"/>
      <c r="DM51" s="98"/>
      <c r="DN51" s="98"/>
      <c r="DO51" s="98"/>
      <c r="DP51" s="98"/>
      <c r="DQ51" s="98"/>
      <c r="DR51" s="98"/>
      <c r="DS51" s="98"/>
      <c r="DT51" s="98"/>
      <c r="DU51" s="98"/>
      <c r="DV51" s="98"/>
      <c r="DW51" s="98"/>
      <c r="DX51" s="98"/>
      <c r="DY51" s="98"/>
      <c r="DZ51" s="98"/>
      <c r="EA51" s="98"/>
      <c r="EB51" s="98"/>
      <c r="EC51" s="98"/>
      <c r="ED51" s="98"/>
      <c r="EE51" s="98"/>
      <c r="EF51" s="69"/>
      <c r="EG51" s="330"/>
      <c r="EH51" s="76"/>
      <c r="EI51" s="76"/>
      <c r="EJ51" s="76"/>
      <c r="EK51" s="1" t="s">
        <v>293</v>
      </c>
      <c r="EL51" s="4" t="s">
        <v>294</v>
      </c>
      <c r="EM51" s="100">
        <f t="shared" si="31"/>
        <v>1</v>
      </c>
      <c r="EN51" s="98"/>
    </row>
    <row r="52" spans="1:144">
      <c r="A52" s="319"/>
      <c r="B52" s="93"/>
      <c r="C52" s="69"/>
      <c r="D52" s="330"/>
      <c r="E52" s="76"/>
      <c r="F52" s="76"/>
      <c r="G52" s="76"/>
      <c r="H52" s="1" t="s">
        <v>295</v>
      </c>
      <c r="I52" s="4" t="s">
        <v>296</v>
      </c>
      <c r="J52" s="100">
        <f t="shared" si="17"/>
        <v>1</v>
      </c>
      <c r="K52" s="98"/>
      <c r="L52" s="98"/>
      <c r="M52" s="98"/>
      <c r="N52" s="98"/>
      <c r="O52" s="98"/>
      <c r="P52" s="98"/>
      <c r="Q52" s="98"/>
      <c r="R52" s="98"/>
      <c r="S52" s="98"/>
      <c r="T52" s="98"/>
      <c r="U52" s="98"/>
      <c r="V52" s="98"/>
      <c r="W52" s="98"/>
      <c r="X52" s="98"/>
      <c r="Y52" s="98"/>
      <c r="Z52" s="98"/>
      <c r="AA52" s="98"/>
      <c r="AB52" s="98"/>
      <c r="AC52" s="98"/>
      <c r="AD52" s="98"/>
      <c r="AE52" s="98"/>
      <c r="AF52" s="98"/>
      <c r="AG52" s="98"/>
      <c r="AH52" s="98"/>
      <c r="AI52" s="98"/>
      <c r="AJ52" s="98"/>
      <c r="AK52" s="98"/>
      <c r="AL52" s="98"/>
      <c r="AM52" s="98"/>
      <c r="AN52" s="98"/>
      <c r="AO52" s="98"/>
      <c r="AP52" s="98"/>
      <c r="AQ52" s="98"/>
      <c r="AR52" s="98"/>
      <c r="AS52" s="98"/>
      <c r="AT52" s="98"/>
      <c r="AU52" s="98"/>
      <c r="AV52" s="98"/>
      <c r="AW52" s="98"/>
      <c r="AX52" s="98"/>
      <c r="AY52" s="98"/>
      <c r="AZ52" s="98"/>
      <c r="BA52" s="98"/>
      <c r="BB52" s="98"/>
      <c r="BC52" s="98"/>
      <c r="BD52" s="98"/>
      <c r="BE52" s="98"/>
      <c r="BF52" s="98"/>
      <c r="BG52" s="98"/>
      <c r="BH52" s="98"/>
      <c r="BI52" s="98"/>
      <c r="BJ52" s="98"/>
      <c r="BK52" s="98"/>
      <c r="BL52" s="98"/>
      <c r="BM52" s="98"/>
      <c r="BN52" s="98"/>
      <c r="BO52" s="98"/>
      <c r="BP52" s="98"/>
      <c r="BQ52" s="98"/>
      <c r="BR52" s="98"/>
      <c r="BS52" s="98"/>
      <c r="BT52" s="98"/>
      <c r="BU52" s="98"/>
      <c r="BV52" s="98"/>
      <c r="BW52" s="98"/>
      <c r="BX52" s="98"/>
      <c r="BY52" s="98"/>
      <c r="BZ52" s="98"/>
      <c r="CA52" s="98"/>
      <c r="CB52" s="98"/>
      <c r="CC52" s="98"/>
      <c r="CD52" s="98"/>
      <c r="CE52" s="98"/>
      <c r="CF52" s="98"/>
      <c r="CG52" s="98"/>
      <c r="CH52" s="98"/>
      <c r="CI52" s="98"/>
      <c r="CJ52" s="98"/>
      <c r="CK52" s="98"/>
      <c r="CL52" s="98"/>
      <c r="CM52" s="98"/>
      <c r="CN52" s="98"/>
      <c r="CO52" s="98"/>
      <c r="CP52" s="98"/>
      <c r="CQ52" s="98"/>
      <c r="CR52" s="98"/>
      <c r="CS52" s="98"/>
      <c r="CT52" s="98"/>
      <c r="CU52" s="98"/>
      <c r="CV52" s="98"/>
      <c r="CW52" s="98"/>
      <c r="CX52" s="98"/>
      <c r="CY52" s="98"/>
      <c r="CZ52" s="98"/>
      <c r="DA52" s="98"/>
      <c r="DB52" s="98"/>
      <c r="DC52" s="98"/>
      <c r="DD52" s="98"/>
      <c r="DE52" s="98"/>
      <c r="DF52" s="98"/>
      <c r="DG52" s="98"/>
      <c r="DH52" s="98"/>
      <c r="DI52" s="98"/>
      <c r="DJ52" s="98"/>
      <c r="DK52" s="98"/>
      <c r="DL52" s="98"/>
      <c r="DM52" s="98"/>
      <c r="DN52" s="98"/>
      <c r="DO52" s="98"/>
      <c r="DP52" s="98"/>
      <c r="DQ52" s="98"/>
      <c r="DR52" s="98"/>
      <c r="DS52" s="98"/>
      <c r="DT52" s="98"/>
      <c r="DU52" s="98"/>
      <c r="DV52" s="98"/>
      <c r="DW52" s="98"/>
      <c r="DX52" s="98"/>
      <c r="DY52" s="98"/>
      <c r="DZ52" s="98"/>
      <c r="EA52" s="98"/>
      <c r="EB52" s="98"/>
      <c r="EC52" s="98"/>
      <c r="ED52" s="98"/>
      <c r="EE52" s="98"/>
      <c r="EF52" s="69"/>
      <c r="EG52" s="330"/>
      <c r="EH52" s="76"/>
      <c r="EI52" s="76"/>
      <c r="EJ52" s="76"/>
      <c r="EK52" s="1" t="s">
        <v>295</v>
      </c>
      <c r="EL52" s="4" t="s">
        <v>296</v>
      </c>
      <c r="EM52" s="100">
        <f t="shared" si="31"/>
        <v>1</v>
      </c>
      <c r="EN52" s="98"/>
    </row>
    <row r="53" spans="1:144">
      <c r="A53" s="319"/>
      <c r="B53" s="93"/>
      <c r="C53" s="69"/>
      <c r="D53" s="330"/>
      <c r="E53" s="76"/>
      <c r="F53" s="76"/>
      <c r="G53" s="76"/>
      <c r="H53" s="1" t="s">
        <v>297</v>
      </c>
      <c r="I53" s="4" t="s">
        <v>298</v>
      </c>
      <c r="J53" s="100">
        <f t="shared" si="17"/>
        <v>1</v>
      </c>
      <c r="K53" s="98"/>
      <c r="L53" s="98"/>
      <c r="M53" s="98"/>
      <c r="N53" s="98"/>
      <c r="O53" s="98"/>
      <c r="P53" s="98"/>
      <c r="Q53" s="98"/>
      <c r="R53" s="98"/>
      <c r="S53" s="98"/>
      <c r="T53" s="98"/>
      <c r="U53" s="98"/>
      <c r="V53" s="98"/>
      <c r="W53" s="98"/>
      <c r="X53" s="98"/>
      <c r="Y53" s="98"/>
      <c r="Z53" s="98"/>
      <c r="AA53" s="98"/>
      <c r="AB53" s="98"/>
      <c r="AC53" s="98"/>
      <c r="AD53" s="98"/>
      <c r="AE53" s="98"/>
      <c r="AF53" s="98"/>
      <c r="AG53" s="98"/>
      <c r="AH53" s="98"/>
      <c r="AI53" s="98"/>
      <c r="AJ53" s="98"/>
      <c r="AK53" s="98"/>
      <c r="AL53" s="98"/>
      <c r="AM53" s="98"/>
      <c r="AN53" s="98"/>
      <c r="AO53" s="98"/>
      <c r="AP53" s="98"/>
      <c r="AQ53" s="98"/>
      <c r="AR53" s="98"/>
      <c r="AS53" s="98"/>
      <c r="AT53" s="98"/>
      <c r="AU53" s="98"/>
      <c r="AV53" s="98"/>
      <c r="AW53" s="98"/>
      <c r="AX53" s="98"/>
      <c r="AY53" s="98"/>
      <c r="AZ53" s="98"/>
      <c r="BA53" s="98"/>
      <c r="BB53" s="98"/>
      <c r="BC53" s="98"/>
      <c r="BD53" s="98"/>
      <c r="BE53" s="98"/>
      <c r="BF53" s="98"/>
      <c r="BG53" s="98"/>
      <c r="BH53" s="98"/>
      <c r="BI53" s="98"/>
      <c r="BJ53" s="98"/>
      <c r="BK53" s="98"/>
      <c r="BL53" s="98"/>
      <c r="BM53" s="98"/>
      <c r="BN53" s="98"/>
      <c r="BO53" s="98"/>
      <c r="BP53" s="98"/>
      <c r="BQ53" s="98"/>
      <c r="BR53" s="98"/>
      <c r="BS53" s="98"/>
      <c r="BT53" s="98"/>
      <c r="BU53" s="98"/>
      <c r="BV53" s="98"/>
      <c r="BW53" s="98"/>
      <c r="BX53" s="98"/>
      <c r="BY53" s="98"/>
      <c r="BZ53" s="98"/>
      <c r="CA53" s="98"/>
      <c r="CB53" s="98"/>
      <c r="CC53" s="98"/>
      <c r="CD53" s="98"/>
      <c r="CE53" s="98"/>
      <c r="CF53" s="98"/>
      <c r="CG53" s="98"/>
      <c r="CH53" s="98"/>
      <c r="CI53" s="98"/>
      <c r="CJ53" s="98"/>
      <c r="CK53" s="98"/>
      <c r="CL53" s="98"/>
      <c r="CM53" s="98"/>
      <c r="CN53" s="98"/>
      <c r="CO53" s="98"/>
      <c r="CP53" s="98"/>
      <c r="CQ53" s="98"/>
      <c r="CR53" s="98"/>
      <c r="CS53" s="98"/>
      <c r="CT53" s="98"/>
      <c r="CU53" s="98"/>
      <c r="CV53" s="98"/>
      <c r="CW53" s="98"/>
      <c r="CX53" s="98"/>
      <c r="CY53" s="98"/>
      <c r="CZ53" s="98"/>
      <c r="DA53" s="98"/>
      <c r="DB53" s="98"/>
      <c r="DC53" s="98"/>
      <c r="DD53" s="98"/>
      <c r="DE53" s="98"/>
      <c r="DF53" s="98"/>
      <c r="DG53" s="98"/>
      <c r="DH53" s="98"/>
      <c r="DI53" s="98"/>
      <c r="DJ53" s="98"/>
      <c r="DK53" s="98"/>
      <c r="DL53" s="98"/>
      <c r="DM53" s="98"/>
      <c r="DN53" s="98"/>
      <c r="DO53" s="98"/>
      <c r="DP53" s="98"/>
      <c r="DQ53" s="98"/>
      <c r="DR53" s="98"/>
      <c r="DS53" s="98"/>
      <c r="DT53" s="98"/>
      <c r="DU53" s="98"/>
      <c r="DV53" s="98"/>
      <c r="DW53" s="98"/>
      <c r="DX53" s="98"/>
      <c r="DY53" s="98"/>
      <c r="DZ53" s="98"/>
      <c r="EA53" s="98"/>
      <c r="EB53" s="98"/>
      <c r="EC53" s="98"/>
      <c r="ED53" s="98"/>
      <c r="EE53" s="98"/>
      <c r="EF53" s="69"/>
      <c r="EG53" s="330"/>
      <c r="EH53" s="76"/>
      <c r="EI53" s="76"/>
      <c r="EJ53" s="76"/>
      <c r="EK53" s="1" t="s">
        <v>297</v>
      </c>
      <c r="EL53" s="4" t="s">
        <v>298</v>
      </c>
      <c r="EM53" s="100">
        <f t="shared" si="31"/>
        <v>1</v>
      </c>
      <c r="EN53" s="98"/>
    </row>
    <row r="54" spans="1:144">
      <c r="A54" s="319"/>
      <c r="B54" s="93"/>
      <c r="C54" s="69"/>
      <c r="D54" s="330"/>
      <c r="E54" s="76"/>
      <c r="F54" s="76"/>
      <c r="G54" s="76"/>
      <c r="H54" s="1" t="s">
        <v>299</v>
      </c>
      <c r="I54" s="4" t="s">
        <v>300</v>
      </c>
      <c r="J54" s="100">
        <f t="shared" si="17"/>
        <v>1</v>
      </c>
      <c r="K54" s="98"/>
      <c r="L54" s="98"/>
      <c r="M54" s="98"/>
      <c r="N54" s="98"/>
      <c r="O54" s="98"/>
      <c r="P54" s="98"/>
      <c r="Q54" s="98"/>
      <c r="R54" s="98"/>
      <c r="S54" s="98"/>
      <c r="T54" s="98"/>
      <c r="U54" s="98"/>
      <c r="V54" s="98"/>
      <c r="W54" s="98"/>
      <c r="X54" s="98"/>
      <c r="Y54" s="98"/>
      <c r="Z54" s="98"/>
      <c r="AA54" s="98"/>
      <c r="AB54" s="98"/>
      <c r="AC54" s="98"/>
      <c r="AD54" s="98"/>
      <c r="AE54" s="98"/>
      <c r="AF54" s="98"/>
      <c r="AG54" s="98"/>
      <c r="AH54" s="98"/>
      <c r="AI54" s="98"/>
      <c r="AJ54" s="98"/>
      <c r="AK54" s="98"/>
      <c r="AL54" s="98"/>
      <c r="AM54" s="98"/>
      <c r="AN54" s="98"/>
      <c r="AO54" s="98"/>
      <c r="AP54" s="98"/>
      <c r="AQ54" s="98"/>
      <c r="AR54" s="98"/>
      <c r="AS54" s="98"/>
      <c r="AT54" s="98"/>
      <c r="AU54" s="98"/>
      <c r="AV54" s="98"/>
      <c r="AW54" s="98"/>
      <c r="AX54" s="98"/>
      <c r="AY54" s="98"/>
      <c r="AZ54" s="98"/>
      <c r="BA54" s="98"/>
      <c r="BB54" s="98"/>
      <c r="BC54" s="98"/>
      <c r="BD54" s="98"/>
      <c r="BE54" s="98"/>
      <c r="BF54" s="98"/>
      <c r="BG54" s="98"/>
      <c r="BH54" s="98"/>
      <c r="BI54" s="98"/>
      <c r="BJ54" s="98"/>
      <c r="BK54" s="98"/>
      <c r="BL54" s="98"/>
      <c r="BM54" s="98"/>
      <c r="BN54" s="98"/>
      <c r="BO54" s="98"/>
      <c r="BP54" s="98"/>
      <c r="BQ54" s="98"/>
      <c r="BR54" s="98"/>
      <c r="BS54" s="98"/>
      <c r="BT54" s="98"/>
      <c r="BU54" s="98"/>
      <c r="BV54" s="98"/>
      <c r="BW54" s="98"/>
      <c r="BX54" s="98"/>
      <c r="BY54" s="98"/>
      <c r="BZ54" s="98"/>
      <c r="CA54" s="98"/>
      <c r="CB54" s="98"/>
      <c r="CC54" s="98"/>
      <c r="CD54" s="98"/>
      <c r="CE54" s="98"/>
      <c r="CF54" s="98"/>
      <c r="CG54" s="98"/>
      <c r="CH54" s="98"/>
      <c r="CI54" s="98"/>
      <c r="CJ54" s="98"/>
      <c r="CK54" s="98"/>
      <c r="CL54" s="98"/>
      <c r="CM54" s="98"/>
      <c r="CN54" s="98"/>
      <c r="CO54" s="98"/>
      <c r="CP54" s="98"/>
      <c r="CQ54" s="98"/>
      <c r="CR54" s="98"/>
      <c r="CS54" s="98"/>
      <c r="CT54" s="98"/>
      <c r="CU54" s="98"/>
      <c r="CV54" s="98"/>
      <c r="CW54" s="98"/>
      <c r="CX54" s="98"/>
      <c r="CY54" s="98"/>
      <c r="CZ54" s="98"/>
      <c r="DA54" s="98"/>
      <c r="DB54" s="98"/>
      <c r="DC54" s="98"/>
      <c r="DD54" s="98"/>
      <c r="DE54" s="98"/>
      <c r="DF54" s="98"/>
      <c r="DG54" s="98"/>
      <c r="DH54" s="98"/>
      <c r="DI54" s="98"/>
      <c r="DJ54" s="98"/>
      <c r="DK54" s="98"/>
      <c r="DL54" s="98"/>
      <c r="DM54" s="98"/>
      <c r="DN54" s="98"/>
      <c r="DO54" s="98"/>
      <c r="DP54" s="98"/>
      <c r="DQ54" s="98"/>
      <c r="DR54" s="98"/>
      <c r="DS54" s="98"/>
      <c r="DT54" s="98"/>
      <c r="DU54" s="98"/>
      <c r="DV54" s="98"/>
      <c r="DW54" s="98"/>
      <c r="DX54" s="98"/>
      <c r="DY54" s="98"/>
      <c r="DZ54" s="98"/>
      <c r="EA54" s="98"/>
      <c r="EB54" s="98"/>
      <c r="EC54" s="98"/>
      <c r="ED54" s="98"/>
      <c r="EE54" s="98"/>
      <c r="EF54" s="69"/>
      <c r="EG54" s="330"/>
      <c r="EH54" s="76"/>
      <c r="EI54" s="76"/>
      <c r="EJ54" s="76"/>
      <c r="EK54" s="1" t="s">
        <v>299</v>
      </c>
      <c r="EL54" s="4" t="s">
        <v>300</v>
      </c>
      <c r="EM54" s="100">
        <f t="shared" si="31"/>
        <v>1</v>
      </c>
      <c r="EN54" s="98"/>
    </row>
    <row r="55" spans="1:144" ht="15.75" thickBot="1">
      <c r="A55" s="319"/>
      <c r="B55" s="93"/>
      <c r="C55" s="165"/>
      <c r="D55" s="331"/>
      <c r="E55" s="87"/>
      <c r="F55" s="87"/>
      <c r="G55" s="87"/>
      <c r="H55" s="17" t="s">
        <v>301</v>
      </c>
      <c r="I55" s="18" t="s">
        <v>302</v>
      </c>
      <c r="J55" s="166">
        <f t="shared" si="17"/>
        <v>1</v>
      </c>
      <c r="K55" s="98"/>
      <c r="L55" s="98"/>
      <c r="M55" s="98"/>
      <c r="N55" s="98"/>
      <c r="O55" s="98"/>
      <c r="P55" s="98"/>
      <c r="Q55" s="98"/>
      <c r="R55" s="98"/>
      <c r="S55" s="98"/>
      <c r="T55" s="98"/>
      <c r="U55" s="98"/>
      <c r="V55" s="98"/>
      <c r="W55" s="98"/>
      <c r="X55" s="98"/>
      <c r="Y55" s="98"/>
      <c r="Z55" s="98"/>
      <c r="AA55" s="98"/>
      <c r="AB55" s="98"/>
      <c r="AC55" s="98"/>
      <c r="AD55" s="98"/>
      <c r="AE55" s="98"/>
      <c r="AF55" s="98"/>
      <c r="AG55" s="98"/>
      <c r="AH55" s="98"/>
      <c r="AI55" s="98"/>
      <c r="AJ55" s="98"/>
      <c r="AK55" s="98"/>
      <c r="AL55" s="98"/>
      <c r="AM55" s="98"/>
      <c r="AN55" s="98"/>
      <c r="AO55" s="98"/>
      <c r="AP55" s="98"/>
      <c r="AQ55" s="98"/>
      <c r="AR55" s="98"/>
      <c r="AS55" s="98"/>
      <c r="AT55" s="98"/>
      <c r="AU55" s="98"/>
      <c r="AV55" s="98"/>
      <c r="AW55" s="98"/>
      <c r="AX55" s="98"/>
      <c r="AY55" s="98"/>
      <c r="AZ55" s="98"/>
      <c r="BA55" s="98"/>
      <c r="BB55" s="98"/>
      <c r="BC55" s="98"/>
      <c r="BD55" s="98"/>
      <c r="BE55" s="98"/>
      <c r="BF55" s="98"/>
      <c r="BG55" s="98"/>
      <c r="BH55" s="98"/>
      <c r="BI55" s="98"/>
      <c r="BJ55" s="98"/>
      <c r="BK55" s="98"/>
      <c r="BL55" s="98"/>
      <c r="BM55" s="98"/>
      <c r="BN55" s="98"/>
      <c r="BO55" s="98"/>
      <c r="BP55" s="98"/>
      <c r="BQ55" s="98"/>
      <c r="BR55" s="98"/>
      <c r="BS55" s="98"/>
      <c r="BT55" s="98"/>
      <c r="BU55" s="98"/>
      <c r="BV55" s="98"/>
      <c r="BW55" s="98"/>
      <c r="BX55" s="98"/>
      <c r="BY55" s="98"/>
      <c r="BZ55" s="98"/>
      <c r="CA55" s="98"/>
      <c r="CB55" s="98"/>
      <c r="CC55" s="98"/>
      <c r="CD55" s="98"/>
      <c r="CE55" s="98"/>
      <c r="CF55" s="98"/>
      <c r="CG55" s="98"/>
      <c r="CH55" s="98"/>
      <c r="CI55" s="98"/>
      <c r="CJ55" s="98"/>
      <c r="CK55" s="98"/>
      <c r="CL55" s="98"/>
      <c r="CM55" s="98"/>
      <c r="CN55" s="98"/>
      <c r="CO55" s="98"/>
      <c r="CP55" s="98"/>
      <c r="CQ55" s="98"/>
      <c r="CR55" s="98"/>
      <c r="CS55" s="98"/>
      <c r="CT55" s="98"/>
      <c r="CU55" s="98"/>
      <c r="CV55" s="98"/>
      <c r="CW55" s="98"/>
      <c r="CX55" s="98"/>
      <c r="CY55" s="98"/>
      <c r="CZ55" s="98"/>
      <c r="DA55" s="98"/>
      <c r="DB55" s="98"/>
      <c r="DC55" s="98"/>
      <c r="DD55" s="98"/>
      <c r="DE55" s="98"/>
      <c r="DF55" s="98"/>
      <c r="DG55" s="98"/>
      <c r="DH55" s="98"/>
      <c r="DI55" s="98"/>
      <c r="DJ55" s="98"/>
      <c r="DK55" s="98"/>
      <c r="DL55" s="98"/>
      <c r="DM55" s="98"/>
      <c r="DN55" s="98"/>
      <c r="DO55" s="98"/>
      <c r="DP55" s="98"/>
      <c r="DQ55" s="98"/>
      <c r="DR55" s="98"/>
      <c r="DS55" s="98"/>
      <c r="DT55" s="98"/>
      <c r="DU55" s="98"/>
      <c r="DV55" s="98"/>
      <c r="DW55" s="98"/>
      <c r="DX55" s="98"/>
      <c r="DY55" s="98"/>
      <c r="DZ55" s="98"/>
      <c r="EA55" s="98"/>
      <c r="EB55" s="98"/>
      <c r="EC55" s="98"/>
      <c r="ED55" s="98"/>
      <c r="EE55" s="98"/>
      <c r="EF55" s="165"/>
      <c r="EG55" s="331"/>
      <c r="EH55" s="87"/>
      <c r="EI55" s="87"/>
      <c r="EJ55" s="87"/>
      <c r="EK55" s="17" t="s">
        <v>301</v>
      </c>
      <c r="EL55" s="18" t="s">
        <v>302</v>
      </c>
      <c r="EM55" s="164">
        <f t="shared" si="31"/>
        <v>1</v>
      </c>
      <c r="EN55" s="98"/>
    </row>
    <row r="56" spans="1:144" ht="15.75" thickBot="1">
      <c r="A56" s="320"/>
      <c r="B56" s="88"/>
      <c r="C56" s="89"/>
      <c r="D56" s="90"/>
      <c r="E56" s="90"/>
      <c r="F56" s="90"/>
      <c r="G56" s="90"/>
      <c r="H56" s="90"/>
      <c r="I56" s="90"/>
      <c r="J56" s="90"/>
      <c r="K56" s="90"/>
      <c r="L56" s="90"/>
      <c r="M56" s="90"/>
      <c r="N56" s="90"/>
      <c r="O56" s="90"/>
      <c r="P56" s="90"/>
      <c r="Q56" s="90"/>
      <c r="R56" s="90"/>
      <c r="S56" s="90"/>
      <c r="T56" s="90"/>
      <c r="U56" s="90"/>
      <c r="V56" s="90"/>
      <c r="W56" s="90"/>
      <c r="X56" s="90"/>
      <c r="Y56" s="90"/>
      <c r="Z56" s="90"/>
      <c r="AA56" s="90"/>
      <c r="AB56" s="90"/>
      <c r="AC56" s="90"/>
      <c r="AD56" s="90"/>
      <c r="AE56" s="90"/>
      <c r="AF56" s="90"/>
      <c r="AG56" s="90"/>
      <c r="AH56" s="90"/>
      <c r="AI56" s="90"/>
      <c r="AJ56" s="90"/>
      <c r="AK56" s="90"/>
      <c r="AL56" s="90"/>
      <c r="AM56" s="90"/>
      <c r="AN56" s="90"/>
      <c r="AO56" s="90"/>
      <c r="AP56" s="90"/>
      <c r="AQ56" s="90"/>
      <c r="AR56" s="90"/>
      <c r="AS56" s="90"/>
      <c r="AT56" s="90"/>
      <c r="AU56" s="90"/>
      <c r="AV56" s="90"/>
      <c r="AW56" s="90"/>
      <c r="AX56" s="90"/>
      <c r="AY56" s="90"/>
      <c r="AZ56" s="90"/>
      <c r="BA56" s="90"/>
      <c r="BB56" s="90"/>
      <c r="BC56" s="90"/>
      <c r="BD56" s="90"/>
      <c r="BE56" s="90"/>
      <c r="BF56" s="90"/>
      <c r="BG56" s="90"/>
      <c r="BH56" s="90"/>
      <c r="BI56" s="90"/>
      <c r="BJ56" s="90"/>
      <c r="BK56" s="90"/>
      <c r="BL56" s="90"/>
      <c r="BM56" s="90"/>
      <c r="BN56" s="90"/>
      <c r="BO56" s="90"/>
      <c r="BP56" s="90"/>
      <c r="BQ56" s="90"/>
      <c r="BR56" s="90"/>
      <c r="BS56" s="90"/>
      <c r="BT56" s="90"/>
      <c r="BU56" s="90"/>
      <c r="BV56" s="90"/>
      <c r="BW56" s="90"/>
      <c r="BX56" s="90"/>
      <c r="BY56" s="90"/>
      <c r="BZ56" s="90"/>
      <c r="CA56" s="90"/>
      <c r="CB56" s="90"/>
      <c r="CC56" s="90"/>
      <c r="CD56" s="90"/>
      <c r="CE56" s="90"/>
      <c r="CF56" s="90"/>
      <c r="CG56" s="90"/>
      <c r="CH56" s="90"/>
      <c r="CI56" s="90"/>
      <c r="CJ56" s="90"/>
      <c r="CK56" s="90"/>
      <c r="CL56" s="90"/>
      <c r="CM56" s="90"/>
      <c r="CN56" s="90"/>
      <c r="CO56" s="90"/>
      <c r="CP56" s="90"/>
      <c r="CQ56" s="90"/>
      <c r="CR56" s="90"/>
      <c r="CS56" s="90"/>
      <c r="CT56" s="90"/>
      <c r="CU56" s="90"/>
      <c r="CV56" s="90"/>
      <c r="CW56" s="90"/>
      <c r="CX56" s="90"/>
      <c r="CY56" s="90"/>
      <c r="CZ56" s="90"/>
      <c r="DA56" s="90"/>
      <c r="DB56" s="90"/>
      <c r="DC56" s="90"/>
      <c r="DD56" s="90"/>
      <c r="DE56" s="90"/>
      <c r="DF56" s="90"/>
      <c r="DG56" s="90"/>
      <c r="DH56" s="90"/>
      <c r="DI56" s="90"/>
      <c r="DJ56" s="90"/>
      <c r="DK56" s="90"/>
      <c r="DL56" s="90"/>
      <c r="DM56" s="90"/>
      <c r="DN56" s="90"/>
      <c r="DO56" s="90"/>
      <c r="DP56" s="90"/>
      <c r="DQ56" s="90"/>
      <c r="DR56" s="90"/>
      <c r="DS56" s="90"/>
      <c r="DT56" s="90"/>
      <c r="DU56" s="90"/>
      <c r="DV56" s="90"/>
      <c r="DW56" s="90"/>
      <c r="DX56" s="90"/>
      <c r="DY56" s="90"/>
      <c r="DZ56" s="90"/>
      <c r="EA56" s="90"/>
      <c r="EB56" s="90"/>
      <c r="EC56" s="90"/>
      <c r="ED56" s="90"/>
      <c r="EE56" s="90"/>
      <c r="EF56" s="90"/>
      <c r="EG56" s="90"/>
      <c r="EH56" s="90"/>
      <c r="EI56" s="90"/>
      <c r="EJ56" s="90"/>
      <c r="EK56" s="90"/>
      <c r="EL56" s="90"/>
      <c r="EM56" s="90"/>
      <c r="EN56" s="91"/>
    </row>
    <row r="57" spans="1:144" ht="15.75" thickBot="1"/>
    <row r="58" spans="1:144" ht="15.75" customHeight="1" thickBot="1">
      <c r="A58" s="321" t="s">
        <v>303</v>
      </c>
      <c r="B58" s="101"/>
      <c r="C58" s="103"/>
      <c r="D58" s="103"/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  <c r="AC58" s="103"/>
      <c r="AD58" s="103"/>
      <c r="AE58" s="103"/>
      <c r="AF58" s="103"/>
      <c r="AG58" s="103"/>
      <c r="AH58" s="103"/>
      <c r="AI58" s="103"/>
      <c r="AJ58" s="103"/>
      <c r="AK58" s="103"/>
      <c r="AL58" s="103"/>
      <c r="AM58" s="103"/>
      <c r="AN58" s="103"/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  <c r="BM58" s="103"/>
      <c r="BN58" s="103"/>
      <c r="BO58" s="103"/>
      <c r="BP58" s="103"/>
      <c r="BQ58" s="103"/>
      <c r="BR58" s="103"/>
      <c r="BS58" s="103"/>
      <c r="BT58" s="103"/>
      <c r="BU58" s="103"/>
      <c r="BV58" s="103"/>
      <c r="BW58" s="103"/>
      <c r="BX58" s="103"/>
      <c r="BY58" s="103"/>
      <c r="BZ58" s="103"/>
      <c r="CA58" s="103"/>
      <c r="CB58" s="103"/>
      <c r="CC58" s="103"/>
      <c r="CD58" s="103"/>
      <c r="CE58" s="103"/>
      <c r="CF58" s="103"/>
      <c r="CG58" s="103"/>
      <c r="CH58" s="103"/>
      <c r="CI58" s="103"/>
      <c r="CJ58" s="103"/>
      <c r="CK58" s="103"/>
      <c r="CL58" s="103"/>
      <c r="CM58" s="103"/>
      <c r="CN58" s="103"/>
      <c r="CO58" s="103"/>
      <c r="CP58" s="103"/>
      <c r="CQ58" s="103"/>
      <c r="CR58" s="103"/>
      <c r="CS58" s="103"/>
      <c r="CT58" s="103"/>
      <c r="CU58" s="103"/>
      <c r="CV58" s="103"/>
      <c r="CW58" s="103"/>
      <c r="CX58" s="103"/>
      <c r="CY58" s="103"/>
      <c r="CZ58" s="103"/>
      <c r="DA58" s="103"/>
      <c r="DB58" s="103"/>
      <c r="DC58" s="103"/>
      <c r="DD58" s="103"/>
      <c r="DE58" s="103"/>
      <c r="DF58" s="103"/>
      <c r="DG58" s="103"/>
      <c r="DH58" s="103"/>
      <c r="DI58" s="103"/>
      <c r="DJ58" s="103"/>
      <c r="DK58" s="103"/>
      <c r="DL58" s="103"/>
      <c r="DM58" s="103"/>
      <c r="DN58" s="103"/>
      <c r="DO58" s="103"/>
      <c r="DP58" s="103"/>
      <c r="DQ58" s="103"/>
      <c r="DR58" s="103"/>
      <c r="DS58" s="103"/>
      <c r="DT58" s="103"/>
      <c r="DU58" s="103"/>
      <c r="DV58" s="103"/>
      <c r="DW58" s="103"/>
      <c r="DX58" s="103"/>
      <c r="DY58" s="103"/>
      <c r="DZ58" s="103"/>
      <c r="EA58" s="103"/>
      <c r="EB58" s="103"/>
      <c r="EC58" s="103"/>
      <c r="ED58" s="103"/>
      <c r="EE58" s="103"/>
      <c r="EF58" s="103"/>
      <c r="EG58" s="103"/>
      <c r="EH58" s="103"/>
      <c r="EI58" s="103"/>
      <c r="EJ58" s="103"/>
      <c r="EK58" s="103"/>
      <c r="EL58" s="103"/>
      <c r="EM58" s="103"/>
      <c r="EN58" s="104"/>
    </row>
    <row r="59" spans="1:144" ht="15.75" thickBot="1">
      <c r="A59" s="322"/>
      <c r="B59" s="102"/>
      <c r="C59" s="105"/>
      <c r="D59" s="324" t="s">
        <v>228</v>
      </c>
      <c r="E59" s="325"/>
      <c r="F59" s="325"/>
      <c r="G59" s="326"/>
      <c r="H59" s="20">
        <v>1</v>
      </c>
      <c r="I59" s="106"/>
      <c r="J59" s="106"/>
      <c r="K59" s="106"/>
      <c r="L59" s="106"/>
      <c r="M59" s="324" t="s">
        <v>228</v>
      </c>
      <c r="N59" s="325"/>
      <c r="O59" s="325"/>
      <c r="P59" s="326"/>
      <c r="Q59" s="20">
        <f>Q19</f>
        <v>2</v>
      </c>
      <c r="R59" s="106"/>
      <c r="S59" s="106"/>
      <c r="T59" s="106"/>
      <c r="U59" s="106"/>
      <c r="V59" s="324" t="s">
        <v>228</v>
      </c>
      <c r="W59" s="325"/>
      <c r="X59" s="325"/>
      <c r="Y59" s="326"/>
      <c r="Z59" s="20">
        <f>Z19</f>
        <v>3</v>
      </c>
      <c r="AA59" s="106"/>
      <c r="AB59" s="106"/>
      <c r="AC59" s="106"/>
      <c r="AD59" s="106"/>
      <c r="AE59" s="324" t="s">
        <v>228</v>
      </c>
      <c r="AF59" s="325"/>
      <c r="AG59" s="325"/>
      <c r="AH59" s="326"/>
      <c r="AI59" s="20">
        <f>AI19</f>
        <v>22</v>
      </c>
      <c r="AJ59" s="106"/>
      <c r="AK59" s="106"/>
      <c r="AL59" s="108"/>
      <c r="AM59" s="108"/>
      <c r="AN59" s="108"/>
      <c r="AO59" s="108"/>
      <c r="AP59" s="109"/>
      <c r="AQ59" s="106"/>
      <c r="AR59" s="106"/>
      <c r="AS59" s="106"/>
      <c r="AT59" s="106"/>
      <c r="AU59" s="324" t="s">
        <v>228</v>
      </c>
      <c r="AV59" s="325"/>
      <c r="AW59" s="325"/>
      <c r="AX59" s="326"/>
      <c r="AY59" s="20">
        <f>AY19</f>
        <v>5</v>
      </c>
      <c r="AZ59" s="106"/>
      <c r="BA59" s="106"/>
      <c r="BB59" s="106"/>
      <c r="BC59" s="106"/>
      <c r="BD59" s="324" t="s">
        <v>228</v>
      </c>
      <c r="BE59" s="325"/>
      <c r="BF59" s="325"/>
      <c r="BG59" s="326"/>
      <c r="BH59" s="20">
        <f>BH19</f>
        <v>6</v>
      </c>
      <c r="BI59" s="106"/>
      <c r="BJ59" s="106"/>
      <c r="BK59" s="106"/>
      <c r="BL59" s="106"/>
      <c r="BM59" s="324" t="s">
        <v>228</v>
      </c>
      <c r="BN59" s="325"/>
      <c r="BO59" s="325"/>
      <c r="BP59" s="326"/>
      <c r="BQ59" s="20">
        <f>BQ19</f>
        <v>7</v>
      </c>
      <c r="BR59" s="106"/>
      <c r="BS59" s="106"/>
      <c r="BT59" s="106"/>
      <c r="BU59" s="106"/>
      <c r="BV59" s="324" t="s">
        <v>228</v>
      </c>
      <c r="BW59" s="325"/>
      <c r="BX59" s="325"/>
      <c r="BY59" s="326"/>
      <c r="BZ59" s="20">
        <f>BZ19</f>
        <v>8</v>
      </c>
      <c r="CA59" s="106"/>
      <c r="CB59" s="106"/>
      <c r="CC59" s="106"/>
      <c r="CD59" s="106"/>
      <c r="CE59" s="324" t="s">
        <v>228</v>
      </c>
      <c r="CF59" s="325"/>
      <c r="CG59" s="325"/>
      <c r="CH59" s="326"/>
      <c r="CI59" s="20">
        <f>CI19</f>
        <v>9</v>
      </c>
      <c r="CJ59" s="106"/>
      <c r="CK59" s="106"/>
      <c r="CL59" s="106"/>
      <c r="CM59" s="106"/>
      <c r="CN59" s="324" t="s">
        <v>228</v>
      </c>
      <c r="CO59" s="325"/>
      <c r="CP59" s="325"/>
      <c r="CQ59" s="326"/>
      <c r="CR59" s="20">
        <f>CR19</f>
        <v>10</v>
      </c>
      <c r="CS59" s="106"/>
      <c r="CT59" s="106"/>
      <c r="CU59" s="106"/>
      <c r="CV59" s="106"/>
      <c r="CW59" s="324" t="s">
        <v>228</v>
      </c>
      <c r="CX59" s="325"/>
      <c r="CY59" s="325"/>
      <c r="CZ59" s="326"/>
      <c r="DA59" s="20">
        <f>DA19</f>
        <v>11</v>
      </c>
      <c r="DB59" s="106"/>
      <c r="DC59" s="106"/>
      <c r="DD59" s="106"/>
      <c r="DE59" s="106"/>
      <c r="DF59" s="324" t="s">
        <v>228</v>
      </c>
      <c r="DG59" s="325"/>
      <c r="DH59" s="325"/>
      <c r="DI59" s="326"/>
      <c r="DJ59" s="20">
        <f>DJ19</f>
        <v>12</v>
      </c>
      <c r="DK59" s="106"/>
      <c r="DL59" s="106"/>
      <c r="DM59" s="106"/>
      <c r="DN59" s="106"/>
      <c r="DO59" s="324" t="s">
        <v>228</v>
      </c>
      <c r="DP59" s="325"/>
      <c r="DQ59" s="325"/>
      <c r="DR59" s="326"/>
      <c r="DS59" s="20">
        <f>DS19</f>
        <v>13</v>
      </c>
      <c r="DT59" s="106"/>
      <c r="DU59" s="106"/>
      <c r="DV59" s="106"/>
      <c r="DW59" s="106"/>
      <c r="DX59" s="324" t="s">
        <v>228</v>
      </c>
      <c r="DY59" s="325"/>
      <c r="DZ59" s="325"/>
      <c r="EA59" s="326"/>
      <c r="EB59" s="20">
        <f>EB19</f>
        <v>14</v>
      </c>
      <c r="EC59" s="106"/>
      <c r="ED59" s="106"/>
      <c r="EE59" s="106"/>
      <c r="EF59" s="106"/>
      <c r="EG59" s="335" t="s">
        <v>228</v>
      </c>
      <c r="EH59" s="336"/>
      <c r="EI59" s="336"/>
      <c r="EJ59" s="337"/>
      <c r="EK59" s="110">
        <f>EK19</f>
        <v>15</v>
      </c>
      <c r="EL59" s="111"/>
      <c r="EM59" s="106"/>
      <c r="EN59" s="107"/>
    </row>
    <row r="60" spans="1:144" ht="15.75" thickBot="1">
      <c r="A60" s="322"/>
      <c r="B60" s="102"/>
      <c r="C60" s="327" t="s">
        <v>229</v>
      </c>
      <c r="D60" s="328"/>
      <c r="E60" s="328"/>
      <c r="F60" s="328"/>
      <c r="G60" s="328"/>
      <c r="H60" s="328"/>
      <c r="I60" s="328"/>
      <c r="J60" s="85"/>
      <c r="K60" s="107"/>
      <c r="L60" s="327" t="s">
        <v>230</v>
      </c>
      <c r="M60" s="328"/>
      <c r="N60" s="328"/>
      <c r="O60" s="328"/>
      <c r="P60" s="328"/>
      <c r="Q60" s="328"/>
      <c r="R60" s="328"/>
      <c r="S60" s="334"/>
      <c r="T60" s="106"/>
      <c r="U60" s="327" t="s">
        <v>231</v>
      </c>
      <c r="V60" s="328"/>
      <c r="W60" s="328"/>
      <c r="X60" s="328"/>
      <c r="Y60" s="328"/>
      <c r="Z60" s="328"/>
      <c r="AA60" s="328"/>
      <c r="AB60" s="334"/>
      <c r="AC60" s="106"/>
      <c r="AD60" s="327" t="s">
        <v>232</v>
      </c>
      <c r="AE60" s="328"/>
      <c r="AF60" s="328"/>
      <c r="AG60" s="328"/>
      <c r="AH60" s="328"/>
      <c r="AI60" s="328"/>
      <c r="AJ60" s="332"/>
      <c r="AK60" s="332"/>
      <c r="AL60" s="332"/>
      <c r="AM60" s="332"/>
      <c r="AN60" s="332"/>
      <c r="AO60" s="332"/>
      <c r="AP60" s="332"/>
      <c r="AQ60" s="332"/>
      <c r="AR60" s="333"/>
      <c r="AS60" s="106"/>
      <c r="AT60" s="327" t="s">
        <v>233</v>
      </c>
      <c r="AU60" s="328"/>
      <c r="AV60" s="328"/>
      <c r="AW60" s="328"/>
      <c r="AX60" s="328"/>
      <c r="AY60" s="328"/>
      <c r="AZ60" s="328"/>
      <c r="BA60" s="334"/>
      <c r="BB60" s="106"/>
      <c r="BC60" s="327" t="s">
        <v>234</v>
      </c>
      <c r="BD60" s="328"/>
      <c r="BE60" s="328"/>
      <c r="BF60" s="328"/>
      <c r="BG60" s="328"/>
      <c r="BH60" s="328"/>
      <c r="BI60" s="328"/>
      <c r="BJ60" s="334"/>
      <c r="BK60" s="106"/>
      <c r="BL60" s="327" t="s">
        <v>233</v>
      </c>
      <c r="BM60" s="328"/>
      <c r="BN60" s="328"/>
      <c r="BO60" s="328"/>
      <c r="BP60" s="328"/>
      <c r="BQ60" s="328"/>
      <c r="BR60" s="328"/>
      <c r="BS60" s="334"/>
      <c r="BT60" s="106"/>
      <c r="BU60" s="327" t="s">
        <v>234</v>
      </c>
      <c r="BV60" s="328"/>
      <c r="BW60" s="328"/>
      <c r="BX60" s="328"/>
      <c r="BY60" s="328"/>
      <c r="BZ60" s="328"/>
      <c r="CA60" s="328"/>
      <c r="CB60" s="334"/>
      <c r="CC60" s="106"/>
      <c r="CD60" s="327" t="s">
        <v>233</v>
      </c>
      <c r="CE60" s="328"/>
      <c r="CF60" s="328"/>
      <c r="CG60" s="328"/>
      <c r="CH60" s="328"/>
      <c r="CI60" s="328"/>
      <c r="CJ60" s="328"/>
      <c r="CK60" s="334"/>
      <c r="CL60" s="106"/>
      <c r="CM60" s="327" t="s">
        <v>234</v>
      </c>
      <c r="CN60" s="328"/>
      <c r="CO60" s="328"/>
      <c r="CP60" s="328"/>
      <c r="CQ60" s="328"/>
      <c r="CR60" s="328"/>
      <c r="CS60" s="328"/>
      <c r="CT60" s="334"/>
      <c r="CU60" s="106"/>
      <c r="CV60" s="327" t="s">
        <v>233</v>
      </c>
      <c r="CW60" s="328"/>
      <c r="CX60" s="328"/>
      <c r="CY60" s="328"/>
      <c r="CZ60" s="328"/>
      <c r="DA60" s="328"/>
      <c r="DB60" s="328"/>
      <c r="DC60" s="334"/>
      <c r="DD60" s="106"/>
      <c r="DE60" s="327" t="s">
        <v>234</v>
      </c>
      <c r="DF60" s="328"/>
      <c r="DG60" s="328"/>
      <c r="DH60" s="328"/>
      <c r="DI60" s="328"/>
      <c r="DJ60" s="328"/>
      <c r="DK60" s="328"/>
      <c r="DL60" s="334"/>
      <c r="DM60" s="106"/>
      <c r="DN60" s="327" t="s">
        <v>233</v>
      </c>
      <c r="DO60" s="328"/>
      <c r="DP60" s="328"/>
      <c r="DQ60" s="328"/>
      <c r="DR60" s="328"/>
      <c r="DS60" s="328"/>
      <c r="DT60" s="328"/>
      <c r="DU60" s="334"/>
      <c r="DV60" s="98"/>
      <c r="DW60" s="327" t="s">
        <v>234</v>
      </c>
      <c r="DX60" s="328"/>
      <c r="DY60" s="328"/>
      <c r="DZ60" s="328"/>
      <c r="EA60" s="328"/>
      <c r="EB60" s="328"/>
      <c r="EC60" s="328"/>
      <c r="ED60" s="334"/>
      <c r="EE60" s="106"/>
      <c r="EF60" s="327" t="s">
        <v>229</v>
      </c>
      <c r="EG60" s="328"/>
      <c r="EH60" s="328"/>
      <c r="EI60" s="328"/>
      <c r="EJ60" s="328"/>
      <c r="EK60" s="328"/>
      <c r="EL60" s="328"/>
      <c r="EM60" s="85"/>
      <c r="EN60" s="107"/>
    </row>
    <row r="61" spans="1:144" ht="15.75" thickBot="1">
      <c r="A61" s="322"/>
      <c r="B61" s="102"/>
      <c r="C61" s="12"/>
      <c r="D61" s="10"/>
      <c r="E61" s="10"/>
      <c r="F61" s="10"/>
      <c r="G61" s="10"/>
      <c r="H61" s="10"/>
      <c r="I61" s="74"/>
      <c r="J61" s="14"/>
      <c r="K61" s="107"/>
      <c r="L61" s="12"/>
      <c r="M61" s="10"/>
      <c r="N61" s="10"/>
      <c r="O61" s="10"/>
      <c r="P61" s="10"/>
      <c r="Q61" s="10"/>
      <c r="R61" s="10"/>
      <c r="S61" s="14"/>
      <c r="T61" s="106"/>
      <c r="U61" s="12"/>
      <c r="V61" s="10"/>
      <c r="W61" s="10"/>
      <c r="X61" s="10"/>
      <c r="Y61" s="10"/>
      <c r="Z61" s="10"/>
      <c r="AA61" s="10"/>
      <c r="AB61" s="14"/>
      <c r="AC61" s="106"/>
      <c r="AD61" s="12"/>
      <c r="AE61" s="10"/>
      <c r="AF61" s="10"/>
      <c r="AG61" s="10"/>
      <c r="AH61" s="10"/>
      <c r="AI61" s="10"/>
      <c r="AJ61" s="10"/>
      <c r="AK61" s="13"/>
      <c r="AL61" s="10"/>
      <c r="AM61" s="10"/>
      <c r="AN61" s="10"/>
      <c r="AO61" s="10"/>
      <c r="AP61" s="10"/>
      <c r="AQ61" s="10"/>
      <c r="AR61" s="14"/>
      <c r="AS61" s="106"/>
      <c r="AT61" s="12"/>
      <c r="AU61" s="10"/>
      <c r="AV61" s="10"/>
      <c r="AW61" s="10"/>
      <c r="AX61" s="10"/>
      <c r="AY61" s="10"/>
      <c r="AZ61" s="10"/>
      <c r="BA61" s="14"/>
      <c r="BB61" s="106"/>
      <c r="BC61" s="12"/>
      <c r="BD61" s="10"/>
      <c r="BE61" s="10"/>
      <c r="BF61" s="10"/>
      <c r="BG61" s="10"/>
      <c r="BH61" s="10"/>
      <c r="BI61" s="10"/>
      <c r="BJ61" s="14"/>
      <c r="BK61" s="106"/>
      <c r="BL61" s="12"/>
      <c r="BM61" s="10"/>
      <c r="BN61" s="10"/>
      <c r="BO61" s="10"/>
      <c r="BP61" s="10"/>
      <c r="BQ61" s="10"/>
      <c r="BR61" s="10"/>
      <c r="BS61" s="14"/>
      <c r="BT61" s="106"/>
      <c r="BU61" s="12"/>
      <c r="BV61" s="10"/>
      <c r="BW61" s="10"/>
      <c r="BX61" s="10"/>
      <c r="BY61" s="10"/>
      <c r="BZ61" s="10"/>
      <c r="CA61" s="10"/>
      <c r="CB61" s="14"/>
      <c r="CC61" s="106"/>
      <c r="CD61" s="12"/>
      <c r="CE61" s="10"/>
      <c r="CF61" s="10"/>
      <c r="CG61" s="10"/>
      <c r="CH61" s="10"/>
      <c r="CI61" s="10"/>
      <c r="CJ61" s="10"/>
      <c r="CK61" s="14"/>
      <c r="CL61" s="106"/>
      <c r="CM61" s="12"/>
      <c r="CN61" s="10"/>
      <c r="CO61" s="10"/>
      <c r="CP61" s="10"/>
      <c r="CQ61" s="10"/>
      <c r="CR61" s="10"/>
      <c r="CS61" s="10"/>
      <c r="CT61" s="14"/>
      <c r="CU61" s="106"/>
      <c r="CV61" s="12"/>
      <c r="CW61" s="10"/>
      <c r="CX61" s="10"/>
      <c r="CY61" s="10"/>
      <c r="CZ61" s="10"/>
      <c r="DA61" s="10"/>
      <c r="DB61" s="10"/>
      <c r="DC61" s="14"/>
      <c r="DD61" s="106"/>
      <c r="DE61" s="12"/>
      <c r="DF61" s="10"/>
      <c r="DG61" s="10"/>
      <c r="DH61" s="10"/>
      <c r="DI61" s="10"/>
      <c r="DJ61" s="10"/>
      <c r="DK61" s="10"/>
      <c r="DL61" s="14"/>
      <c r="DM61" s="106"/>
      <c r="DN61" s="12"/>
      <c r="DO61" s="10"/>
      <c r="DP61" s="10"/>
      <c r="DQ61" s="10"/>
      <c r="DR61" s="10"/>
      <c r="DS61" s="10"/>
      <c r="DT61" s="10"/>
      <c r="DU61" s="14"/>
      <c r="DV61" s="98"/>
      <c r="DW61" s="12"/>
      <c r="DX61" s="10"/>
      <c r="DY61" s="10"/>
      <c r="DZ61" s="10"/>
      <c r="EA61" s="10"/>
      <c r="EB61" s="10"/>
      <c r="EC61" s="10"/>
      <c r="ED61" s="14"/>
      <c r="EE61" s="106"/>
      <c r="EF61" s="12"/>
      <c r="EG61" s="10"/>
      <c r="EH61" s="10"/>
      <c r="EI61" s="10"/>
      <c r="EJ61" s="10"/>
      <c r="EK61" s="10"/>
      <c r="EL61" s="74"/>
      <c r="EM61" s="14"/>
      <c r="EN61" s="107"/>
    </row>
    <row r="62" spans="1:144" ht="15.75" thickBot="1">
      <c r="A62" s="322"/>
      <c r="B62" s="102"/>
      <c r="C62" s="55"/>
      <c r="D62" s="56" t="s">
        <v>235</v>
      </c>
      <c r="E62" s="57" t="s">
        <v>187</v>
      </c>
      <c r="F62" s="57" t="s">
        <v>236</v>
      </c>
      <c r="G62" s="57" t="s">
        <v>182</v>
      </c>
      <c r="H62" s="57" t="s">
        <v>186</v>
      </c>
      <c r="I62" s="58" t="s">
        <v>237</v>
      </c>
      <c r="J62" s="132" t="s">
        <v>238</v>
      </c>
      <c r="K62" s="107"/>
      <c r="L62" s="55"/>
      <c r="M62" s="56" t="s">
        <v>235</v>
      </c>
      <c r="N62" s="57" t="s">
        <v>187</v>
      </c>
      <c r="O62" s="57" t="s">
        <v>236</v>
      </c>
      <c r="P62" s="57" t="s">
        <v>182</v>
      </c>
      <c r="Q62" s="57" t="s">
        <v>186</v>
      </c>
      <c r="R62" s="58" t="s">
        <v>237</v>
      </c>
      <c r="S62" s="132" t="s">
        <v>238</v>
      </c>
      <c r="T62" s="106"/>
      <c r="U62" s="55"/>
      <c r="V62" s="56" t="s">
        <v>235</v>
      </c>
      <c r="W62" s="57" t="s">
        <v>187</v>
      </c>
      <c r="X62" s="57" t="s">
        <v>236</v>
      </c>
      <c r="Y62" s="57" t="s">
        <v>182</v>
      </c>
      <c r="Z62" s="57" t="s">
        <v>186</v>
      </c>
      <c r="AA62" s="58" t="s">
        <v>237</v>
      </c>
      <c r="AB62" s="132" t="s">
        <v>238</v>
      </c>
      <c r="AC62" s="106"/>
      <c r="AD62" s="55"/>
      <c r="AE62" s="56" t="s">
        <v>235</v>
      </c>
      <c r="AF62" s="57" t="s">
        <v>187</v>
      </c>
      <c r="AG62" s="57" t="s">
        <v>236</v>
      </c>
      <c r="AH62" s="57" t="s">
        <v>182</v>
      </c>
      <c r="AI62" s="57" t="s">
        <v>186</v>
      </c>
      <c r="AJ62" s="58" t="s">
        <v>237</v>
      </c>
      <c r="AK62" s="132" t="s">
        <v>238</v>
      </c>
      <c r="AL62" s="66"/>
      <c r="AM62" s="66"/>
      <c r="AN62" s="66"/>
      <c r="AO62" s="66"/>
      <c r="AP62" s="66"/>
      <c r="AQ62" s="66"/>
      <c r="AR62" s="72"/>
      <c r="AS62" s="106"/>
      <c r="AT62" s="55"/>
      <c r="AU62" s="56" t="s">
        <v>235</v>
      </c>
      <c r="AV62" s="57" t="s">
        <v>187</v>
      </c>
      <c r="AW62" s="57" t="s">
        <v>236</v>
      </c>
      <c r="AX62" s="57" t="s">
        <v>182</v>
      </c>
      <c r="AY62" s="57" t="s">
        <v>186</v>
      </c>
      <c r="AZ62" s="58" t="s">
        <v>237</v>
      </c>
      <c r="BA62" s="132" t="s">
        <v>238</v>
      </c>
      <c r="BB62" s="106"/>
      <c r="BC62" s="55"/>
      <c r="BD62" s="56" t="s">
        <v>235</v>
      </c>
      <c r="BE62" s="57" t="s">
        <v>187</v>
      </c>
      <c r="BF62" s="57" t="s">
        <v>236</v>
      </c>
      <c r="BG62" s="57" t="s">
        <v>182</v>
      </c>
      <c r="BH62" s="57" t="s">
        <v>186</v>
      </c>
      <c r="BI62" s="58" t="s">
        <v>237</v>
      </c>
      <c r="BJ62" s="132" t="s">
        <v>238</v>
      </c>
      <c r="BK62" s="106"/>
      <c r="BL62" s="55"/>
      <c r="BM62" s="56" t="s">
        <v>235</v>
      </c>
      <c r="BN62" s="57" t="s">
        <v>187</v>
      </c>
      <c r="BO62" s="57" t="s">
        <v>236</v>
      </c>
      <c r="BP62" s="57" t="s">
        <v>182</v>
      </c>
      <c r="BQ62" s="57" t="s">
        <v>186</v>
      </c>
      <c r="BR62" s="58" t="s">
        <v>237</v>
      </c>
      <c r="BS62" s="132" t="s">
        <v>238</v>
      </c>
      <c r="BT62" s="106"/>
      <c r="BU62" s="55"/>
      <c r="BV62" s="56" t="s">
        <v>235</v>
      </c>
      <c r="BW62" s="57" t="s">
        <v>187</v>
      </c>
      <c r="BX62" s="57" t="s">
        <v>236</v>
      </c>
      <c r="BY62" s="57" t="s">
        <v>182</v>
      </c>
      <c r="BZ62" s="57" t="s">
        <v>186</v>
      </c>
      <c r="CA62" s="58" t="s">
        <v>237</v>
      </c>
      <c r="CB62" s="132" t="s">
        <v>238</v>
      </c>
      <c r="CC62" s="106"/>
      <c r="CD62" s="55"/>
      <c r="CE62" s="56" t="s">
        <v>235</v>
      </c>
      <c r="CF62" s="57" t="s">
        <v>187</v>
      </c>
      <c r="CG62" s="57" t="s">
        <v>236</v>
      </c>
      <c r="CH62" s="57" t="s">
        <v>182</v>
      </c>
      <c r="CI62" s="57" t="s">
        <v>186</v>
      </c>
      <c r="CJ62" s="58" t="s">
        <v>237</v>
      </c>
      <c r="CK62" s="132" t="s">
        <v>238</v>
      </c>
      <c r="CL62" s="106"/>
      <c r="CM62" s="55"/>
      <c r="CN62" s="56" t="s">
        <v>235</v>
      </c>
      <c r="CO62" s="57" t="s">
        <v>187</v>
      </c>
      <c r="CP62" s="57" t="s">
        <v>236</v>
      </c>
      <c r="CQ62" s="57" t="s">
        <v>182</v>
      </c>
      <c r="CR62" s="57" t="s">
        <v>186</v>
      </c>
      <c r="CS62" s="58" t="s">
        <v>237</v>
      </c>
      <c r="CT62" s="132" t="s">
        <v>238</v>
      </c>
      <c r="CU62" s="106"/>
      <c r="CV62" s="55"/>
      <c r="CW62" s="56" t="s">
        <v>235</v>
      </c>
      <c r="CX62" s="57" t="s">
        <v>187</v>
      </c>
      <c r="CY62" s="57" t="s">
        <v>236</v>
      </c>
      <c r="CZ62" s="57" t="s">
        <v>182</v>
      </c>
      <c r="DA62" s="57" t="s">
        <v>186</v>
      </c>
      <c r="DB62" s="58" t="s">
        <v>237</v>
      </c>
      <c r="DC62" s="132" t="s">
        <v>238</v>
      </c>
      <c r="DD62" s="106"/>
      <c r="DE62" s="55"/>
      <c r="DF62" s="56" t="s">
        <v>235</v>
      </c>
      <c r="DG62" s="57" t="s">
        <v>187</v>
      </c>
      <c r="DH62" s="57" t="s">
        <v>236</v>
      </c>
      <c r="DI62" s="57" t="s">
        <v>182</v>
      </c>
      <c r="DJ62" s="57" t="s">
        <v>186</v>
      </c>
      <c r="DK62" s="58" t="s">
        <v>237</v>
      </c>
      <c r="DL62" s="132" t="s">
        <v>238</v>
      </c>
      <c r="DM62" s="106"/>
      <c r="DN62" s="55"/>
      <c r="DO62" s="56" t="s">
        <v>235</v>
      </c>
      <c r="DP62" s="57" t="s">
        <v>187</v>
      </c>
      <c r="DQ62" s="57" t="s">
        <v>236</v>
      </c>
      <c r="DR62" s="57" t="s">
        <v>182</v>
      </c>
      <c r="DS62" s="57" t="s">
        <v>186</v>
      </c>
      <c r="DT62" s="58" t="s">
        <v>237</v>
      </c>
      <c r="DU62" s="132" t="s">
        <v>238</v>
      </c>
      <c r="DV62" s="98"/>
      <c r="DW62" s="55"/>
      <c r="DX62" s="56" t="s">
        <v>235</v>
      </c>
      <c r="DY62" s="57" t="s">
        <v>187</v>
      </c>
      <c r="DZ62" s="57" t="s">
        <v>236</v>
      </c>
      <c r="EA62" s="57" t="s">
        <v>182</v>
      </c>
      <c r="EB62" s="57" t="s">
        <v>186</v>
      </c>
      <c r="EC62" s="58" t="s">
        <v>237</v>
      </c>
      <c r="ED62" s="132" t="s">
        <v>238</v>
      </c>
      <c r="EE62" s="106"/>
      <c r="EF62" s="55"/>
      <c r="EG62" s="56" t="s">
        <v>235</v>
      </c>
      <c r="EH62" s="57" t="s">
        <v>187</v>
      </c>
      <c r="EI62" s="57" t="s">
        <v>236</v>
      </c>
      <c r="EJ62" s="57" t="s">
        <v>182</v>
      </c>
      <c r="EK62" s="57" t="s">
        <v>186</v>
      </c>
      <c r="EL62" s="58" t="s">
        <v>237</v>
      </c>
      <c r="EM62" s="132" t="s">
        <v>238</v>
      </c>
      <c r="EN62" s="107"/>
    </row>
    <row r="63" spans="1:144" ht="15.75" thickBot="1">
      <c r="A63" s="322"/>
      <c r="B63" s="102"/>
      <c r="C63" s="55"/>
      <c r="D63" s="60">
        <v>2</v>
      </c>
      <c r="E63" s="139"/>
      <c r="F63" s="140">
        <v>1</v>
      </c>
      <c r="G63" s="141">
        <v>0</v>
      </c>
      <c r="H63" s="57" t="s">
        <v>304</v>
      </c>
      <c r="I63" s="74" t="str">
        <f>IF(G63=99,"",CONCATENATE("10.0.",TEXT(((BITWISE_AND('IP Address (no mod)'!$D$20,H$19)/4)+G63*8+120),"0"),".",TEXT((BITWISE_AND('IP Address (no mod)'!$D$21,H$19)*64)+D$63*10+F63,"0")))</f>
        <v>10.0.120.85</v>
      </c>
      <c r="J63" s="177">
        <f>COUNTIF($I$23:$I$111,I63)+COUNTIF($R$23:$R$111,I63)+COUNTIF($AA$23:$AA$111,I63)+COUNTIF($AJ$23:$AJ$111,I63)+COUNTIF($AQ$23:$AQ$111,I63)+COUNTIF($AZ$23:$AZ$111,I63)+COUNTIF($BI$23:$BI$111,I63)+COUNTIF($BR$23:$BR$111,I63)+COUNTIF($CA$23:$CA$111,I63)+COUNTIF($CJ$23:$CJ$111,I63)+COUNTIF($CS$23:$CS$111,I63)+COUNTIF($DB$23:$DB$111,I63)+COUNTIF($DK$23:$DK$111,I63)+COUNTIF($DT$23:$DT$111,I63)+COUNTIF($EC$23:$EC$111,I63)+COUNTIF($EL$23:$EL$111,I63)-1</f>
        <v>0</v>
      </c>
      <c r="K63" s="107"/>
      <c r="L63" s="55"/>
      <c r="M63" s="60">
        <v>2</v>
      </c>
      <c r="N63" s="139"/>
      <c r="O63" s="140">
        <v>1</v>
      </c>
      <c r="P63" s="141">
        <v>0</v>
      </c>
      <c r="Q63" s="57" t="s">
        <v>305</v>
      </c>
      <c r="R63" s="14" t="str">
        <f>IF(P63=99,"",CONCATENATE("10.0.",TEXT(((BITWISE_AND('IP Address (no mod)'!$D$20,Q$19)/4)+P63*8+120),"0"),".",TEXT((BITWISE_AND('IP Address (no mod)'!$D$21,Q$19)*64)+M$63*10+O63,"0")))</f>
        <v>10.0.120.149</v>
      </c>
      <c r="S63" s="100">
        <f>COUNTIF($I$23:$I$111,R63)+COUNTIF($R$23:$R$111,R63)+COUNTIF($AA$23:$AA$111,R63)+COUNTIF($AJ$23:$AJ$111,R63)+COUNTIF($AQ$23:$AQ$111,R63)+COUNTIF($AZ$23:$AZ$111,R63)+COUNTIF($BI$23:$BI$111,R63)+COUNTIF($BR$23:$BR$111,R63)+COUNTIF($CA$23:$CA$111,R63)+COUNTIF($CJ$23:$CJ$111,R63)+COUNTIF($CS$23:$CS$111,R63)+COUNTIF($DB$23:$DB$111,R63)+COUNTIF($DK$23:$DK$111,R63)+COUNTIF($DT$23:$DT$111,R63)+COUNTIF($EC$23:$EC$111,R63)+COUNTIF($EL$23:$EL$111,R63)-1</f>
        <v>0</v>
      </c>
      <c r="T63" s="106"/>
      <c r="U63" s="55"/>
      <c r="V63" s="60">
        <v>2</v>
      </c>
      <c r="W63" s="139"/>
      <c r="X63" s="140">
        <v>1</v>
      </c>
      <c r="Y63" s="141">
        <v>0</v>
      </c>
      <c r="Z63" s="57" t="s">
        <v>305</v>
      </c>
      <c r="AA63" s="14" t="str">
        <f>IF(Y63=99,"",CONCATENATE("10.0.",TEXT(((BITWISE_AND('IP Address (no mod)'!$D$20,Z$19)/4)+Y63*8+120),"0"),".",TEXT((BITWISE_AND('IP Address (no mod)'!$D$21,Z$19)*64)+V$63*10+X63,"0")))</f>
        <v>10.0.120.213</v>
      </c>
      <c r="AB63" s="100">
        <f>COUNTIF($I$23:$I$111,AA63)+COUNTIF($R$23:$R$111,AA63)+COUNTIF($AA$23:$AA$111,AA63)+COUNTIF($AJ$23:$AJ$111,AA63)+COUNTIF($AQ$23:$AQ$111,AA63)+COUNTIF($AZ$23:$AZ$111,AA63)+COUNTIF($BI$23:$BI$111,AA63)+COUNTIF($BR$23:$BR$111,AA63)+COUNTIF($CA$23:$CA$111,AA63)+COUNTIF($CJ$23:$CJ$111,AA63)+COUNTIF($CS$23:$CS$111,AA63)+COUNTIF($DB$23:$DB$111,AA63)+COUNTIF($DK$23:$DK$111,AA63)+COUNTIF($DT$23:$DT$111,AA63)+COUNTIF($EC$23:$EC$111,AA63)+COUNTIF($EL$23:$EL$111,AA63)-1</f>
        <v>0</v>
      </c>
      <c r="AC63" s="106"/>
      <c r="AD63" s="55"/>
      <c r="AE63" s="60">
        <v>2</v>
      </c>
      <c r="AF63" s="139"/>
      <c r="AG63" s="140">
        <v>1</v>
      </c>
      <c r="AH63" s="141">
        <v>0</v>
      </c>
      <c r="AI63" s="57" t="s">
        <v>305</v>
      </c>
      <c r="AJ63" s="14" t="str">
        <f>IF(AH63=99,"",CONCATENATE("10.0.",TEXT(((BITWISE_AND('IP Address (no mod)'!$D$20,AI$19)/4)+AH63*8+120),"0"),".",TEXT((BITWISE_AND('IP Address (no mod)'!$D$21,AI$19)*64)+AE$63*10+AG63,"0")))</f>
        <v>10.0.125.149</v>
      </c>
      <c r="AK63" s="100">
        <f>COUNTIF($I$23:$I$111,AJ63)+COUNTIF($R$23:$R$111,AJ63)+COUNTIF($AA$23:$AA$111,AJ63)+COUNTIF($AJ$23:$AJ$111,AJ63)+COUNTIF($AQ$23:$AQ$111,AJ63)+COUNTIF($AZ$23:$AZ$111,AJ63)+COUNTIF($BI$23:$BI$111,AJ63)+COUNTIF($BR$23:$BR$111,AJ63)+COUNTIF($CA$23:$CA$111,AJ63)+COUNTIF($CJ$23:$CJ$111,AJ63)+COUNTIF($CS$23:$CS$111,AJ63)+COUNTIF($DB$23:$DB$111,AJ63)+COUNTIF($DK$23:$DK$111,AJ63)+COUNTIF($DT$23:$DT$111,AJ63)+COUNTIF($EC$23:$EC$111,AJ63)+COUNTIF($EL$23:$EL$111,AJ63)-1</f>
        <v>0</v>
      </c>
      <c r="AL63" s="66"/>
      <c r="AM63" s="66"/>
      <c r="AN63" s="66"/>
      <c r="AO63" s="66"/>
      <c r="AP63" s="66"/>
      <c r="AQ63" s="66"/>
      <c r="AR63" s="72"/>
      <c r="AS63" s="106"/>
      <c r="AT63" s="55"/>
      <c r="AU63" s="60">
        <v>2</v>
      </c>
      <c r="AV63" s="139"/>
      <c r="AW63" s="140">
        <v>1</v>
      </c>
      <c r="AX63" s="141">
        <v>0</v>
      </c>
      <c r="AY63" s="57" t="s">
        <v>305</v>
      </c>
      <c r="AZ63" s="14" t="str">
        <f>IF(AX63=99,"",CONCATENATE("10.0.",TEXT(((BITWISE_AND('IP Address (no mod)'!$D$20,AY$19)/4)+AX63*8+120),"0"),".",TEXT((BITWISE_AND('IP Address (no mod)'!$D$21,AY$19)*64)+AU$63*10+AW63,"0")))</f>
        <v>10.0.121.85</v>
      </c>
      <c r="BA63" s="100">
        <f>COUNTIF($I$23:$I$111,AZ63)+COUNTIF($R$23:$R$111,AZ63)+COUNTIF($AA$23:$AA$111,AZ63)+COUNTIF($AJ$23:$AJ$111,AZ63)+COUNTIF($AQ$23:$AQ$111,AZ63)+COUNTIF($AZ$23:$AZ$111,AZ63)+COUNTIF($BI$23:$BI$111,AZ63)+COUNTIF($BR$23:$BR$111,AZ63)+COUNTIF($CA$23:$CA$111,AZ63)+COUNTIF($CJ$23:$CJ$111,AZ63)+COUNTIF($CS$23:$CS$111,AZ63)+COUNTIF($DB$23:$DB$111,AZ63)+COUNTIF($DK$23:$DK$111,AZ63)+COUNTIF($DT$23:$DT$111,AZ63)+COUNTIF($EC$23:$EC$111,AZ63)+COUNTIF($EL$23:$EL$111,AZ63)-1</f>
        <v>0</v>
      </c>
      <c r="BB63" s="106"/>
      <c r="BC63" s="55"/>
      <c r="BD63" s="60">
        <v>2</v>
      </c>
      <c r="BE63" s="139"/>
      <c r="BF63" s="140">
        <v>1</v>
      </c>
      <c r="BG63" s="141">
        <v>0</v>
      </c>
      <c r="BH63" s="57" t="s">
        <v>305</v>
      </c>
      <c r="BI63" s="14" t="str">
        <f>IF(BG63=99,"",CONCATENATE("10.0.",TEXT(((BITWISE_AND('IP Address (no mod)'!$D$20,BH$19)/4)+BG63*8+120),"0"),".",TEXT((BITWISE_AND('IP Address (no mod)'!$D$21,BH$19)*64)+BD$63*10+BF63,"0")))</f>
        <v>10.0.121.149</v>
      </c>
      <c r="BJ63" s="100">
        <f>COUNTIF($I$23:$I$111,BI63)+COUNTIF($R$23:$R$111,BI63)+COUNTIF($AA$23:$AA$111,BI63)+COUNTIF($AJ$23:$AJ$111,BI63)+COUNTIF($AQ$23:$AQ$111,BI63)+COUNTIF($AZ$23:$AZ$111,BI63)+COUNTIF($BI$23:$BI$111,BI63)+COUNTIF($BR$23:$BR$111,BI63)+COUNTIF($CA$23:$CA$111,BI63)+COUNTIF($CJ$23:$CJ$111,BI63)+COUNTIF($CS$23:$CS$111,BI63)+COUNTIF($DB$23:$DB$111,BI63)+COUNTIF($DK$23:$DK$111,BI63)+COUNTIF($DT$23:$DT$111,BI63)+COUNTIF($EC$23:$EC$111,BI63)+COUNTIF($EL$23:$EL$111,BI63)-1</f>
        <v>0</v>
      </c>
      <c r="BK63" s="106"/>
      <c r="BL63" s="55"/>
      <c r="BM63" s="60">
        <v>2</v>
      </c>
      <c r="BN63" s="139"/>
      <c r="BO63" s="140">
        <v>1</v>
      </c>
      <c r="BP63" s="141">
        <v>0</v>
      </c>
      <c r="BQ63" s="57" t="s">
        <v>305</v>
      </c>
      <c r="BR63" s="14" t="str">
        <f>IF(BP63=99,"",CONCATENATE("10.0.",TEXT(((BITWISE_AND('IP Address (no mod)'!$D$20,BQ$19)/4)+BP63*8+120),"0"),".",TEXT((BITWISE_AND('IP Address (no mod)'!$D$21,BQ$19)*64)+BM$63*10+BO63,"0")))</f>
        <v>10.0.121.213</v>
      </c>
      <c r="BS63" s="100">
        <f>COUNTIF($I$23:$I$111,BR63)+COUNTIF($R$23:$R$111,BR63)+COUNTIF($AA$23:$AA$111,BR63)+COUNTIF($AJ$23:$AJ$111,BR63)+COUNTIF($AQ$23:$AQ$111,BR63)+COUNTIF($AZ$23:$AZ$111,BR63)+COUNTIF($BI$23:$BI$111,BR63)+COUNTIF($BR$23:$BR$111,BR63)+COUNTIF($CA$23:$CA$111,BR63)+COUNTIF($CJ$23:$CJ$111,BR63)+COUNTIF($CS$23:$CS$111,BR63)+COUNTIF($DB$23:$DB$111,BR63)+COUNTIF($DK$23:$DK$111,BR63)+COUNTIF($DT$23:$DT$111,BR63)+COUNTIF($EC$23:$EC$111,BR63)+COUNTIF($EL$23:$EL$111,BR63)-1</f>
        <v>0</v>
      </c>
      <c r="BT63" s="106"/>
      <c r="BU63" s="55"/>
      <c r="BV63" s="60">
        <v>2</v>
      </c>
      <c r="BW63" s="139"/>
      <c r="BX63" s="140">
        <v>1</v>
      </c>
      <c r="BY63" s="141">
        <v>0</v>
      </c>
      <c r="BZ63" s="57" t="s">
        <v>305</v>
      </c>
      <c r="CA63" s="14" t="str">
        <f>IF(BY63=99,"",CONCATENATE("10.0.",TEXT(((BITWISE_AND('IP Address (no mod)'!$D$20,BZ$19)/4)+BY63*8+120),"0"),".",TEXT((BITWISE_AND('IP Address (no mod)'!$D$21,BZ$19)*64)+BV$63*10+BX63,"0")))</f>
        <v>10.0.122.21</v>
      </c>
      <c r="CB63" s="100">
        <f>COUNTIF($I$23:$I$111,CA63)+COUNTIF($R$23:$R$111,CA63)+COUNTIF($AA$23:$AA$111,CA63)+COUNTIF($AJ$23:$AJ$111,CA63)+COUNTIF($AQ$23:$AQ$111,CA63)+COUNTIF($AZ$23:$AZ$111,CA63)+COUNTIF($BI$23:$BI$111,CA63)+COUNTIF($BR$23:$BR$111,CA63)+COUNTIF($CA$23:$CA$111,CA63)+COUNTIF($CJ$23:$CJ$111,CA63)+COUNTIF($CS$23:$CS$111,CA63)+COUNTIF($DB$23:$DB$111,CA63)+COUNTIF($DK$23:$DK$111,CA63)+COUNTIF($DT$23:$DT$111,CA63)+COUNTIF($EC$23:$EC$111,CA63)+COUNTIF($EL$23:$EL$111,CA63)-1</f>
        <v>0</v>
      </c>
      <c r="CC63" s="106"/>
      <c r="CD63" s="55"/>
      <c r="CE63" s="60">
        <v>2</v>
      </c>
      <c r="CF63" s="139"/>
      <c r="CG63" s="140">
        <v>1</v>
      </c>
      <c r="CH63" s="141">
        <v>0</v>
      </c>
      <c r="CI63" s="57" t="s">
        <v>305</v>
      </c>
      <c r="CJ63" s="14" t="str">
        <f>IF(CH63=99,"",CONCATENATE("10.0.",TEXT(((BITWISE_AND('IP Address (no mod)'!$D$20,CI$19)/4)+CH63*8+120),"0"),".",TEXT((BITWISE_AND('IP Address (no mod)'!$D$21,CI$19)*64)+CE$63*10+CG63,"0")))</f>
        <v>10.0.122.85</v>
      </c>
      <c r="CK63" s="100">
        <f>COUNTIF($I$23:$I$111,CJ63)+COUNTIF($R$23:$R$111,CJ63)+COUNTIF($AA$23:$AA$111,CJ63)+COUNTIF($AJ$23:$AJ$111,CJ63)+COUNTIF($AQ$23:$AQ$111,CJ63)+COUNTIF($AZ$23:$AZ$111,CJ63)+COUNTIF($BI$23:$BI$111,CJ63)+COUNTIF($BR$23:$BR$111,CJ63)+COUNTIF($CA$23:$CA$111,CJ63)+COUNTIF($CJ$23:$CJ$111,CJ63)+COUNTIF($CS$23:$CS$111,CJ63)+COUNTIF($DB$23:$DB$111,CJ63)+COUNTIF($DK$23:$DK$111,CJ63)+COUNTIF($DT$23:$DT$111,CJ63)+COUNTIF($EC$23:$EC$111,CJ63)+COUNTIF($EL$23:$EL$111,CJ63)-1</f>
        <v>0</v>
      </c>
      <c r="CL63" s="106"/>
      <c r="CM63" s="55"/>
      <c r="CN63" s="60">
        <v>2</v>
      </c>
      <c r="CO63" s="139"/>
      <c r="CP63" s="140">
        <v>1</v>
      </c>
      <c r="CQ63" s="141">
        <v>0</v>
      </c>
      <c r="CR63" s="57" t="s">
        <v>305</v>
      </c>
      <c r="CS63" s="14" t="str">
        <f>IF(CQ63=99,"",CONCATENATE("10.0.",TEXT(((BITWISE_AND('IP Address (no mod)'!$D$20,CR$19)/4)+CQ63*8+120),"0"),".",TEXT((BITWISE_AND('IP Address (no mod)'!$D$21,CR$19)*64)+CN$63*10+CP63,"0")))</f>
        <v>10.0.122.149</v>
      </c>
      <c r="CT63" s="100">
        <f>COUNTIF($I$23:$I$111,CS63)+COUNTIF($R$23:$R$111,CS63)+COUNTIF($AA$23:$AA$111,CS63)+COUNTIF($AJ$23:$AJ$111,CS63)+COUNTIF($AQ$23:$AQ$111,CS63)+COUNTIF($AZ$23:$AZ$111,CS63)+COUNTIF($BI$23:$BI$111,CS63)+COUNTIF($BR$23:$BR$111,CS63)+COUNTIF($CA$23:$CA$111,CS63)+COUNTIF($CJ$23:$CJ$111,CS63)+COUNTIF($CS$23:$CS$111,CS63)+COUNTIF($DB$23:$DB$111,CS63)+COUNTIF($DK$23:$DK$111,CS63)+COUNTIF($DT$23:$DT$111,CS63)+COUNTIF($EC$23:$EC$111,CS63)+COUNTIF($EL$23:$EL$111,CS63)-1</f>
        <v>0</v>
      </c>
      <c r="CU63" s="106"/>
      <c r="CV63" s="55"/>
      <c r="CW63" s="60">
        <v>2</v>
      </c>
      <c r="CX63" s="139"/>
      <c r="CY63" s="140">
        <v>1</v>
      </c>
      <c r="CZ63" s="141">
        <v>0</v>
      </c>
      <c r="DA63" s="57" t="s">
        <v>305</v>
      </c>
      <c r="DB63" s="14" t="str">
        <f>IF(CZ63=99,"",CONCATENATE("10.0.",TEXT(((BITWISE_AND('IP Address (no mod)'!$D$20,DA$19)/4)+CZ63*8+120),"0"),".",TEXT((BITWISE_AND('IP Address (no mod)'!$D$21,DA$19)*64)+CW$63*10+CY63,"0")))</f>
        <v>10.0.122.213</v>
      </c>
      <c r="DC63" s="100">
        <f>COUNTIF($I$23:$I$111,DB63)+COUNTIF($R$23:$R$111,DB63)+COUNTIF($AA$23:$AA$111,DB63)+COUNTIF($AJ$23:$AJ$111,DB63)+COUNTIF($AQ$23:$AQ$111,DB63)+COUNTIF($AZ$23:$AZ$111,DB63)+COUNTIF($BI$23:$BI$111,DB63)+COUNTIF($BR$23:$BR$111,DB63)+COUNTIF($CA$23:$CA$111,DB63)+COUNTIF($CJ$23:$CJ$111,DB63)+COUNTIF($CS$23:$CS$111,DB63)+COUNTIF($DB$23:$DB$111,DB63)+COUNTIF($DK$23:$DK$111,DB63)+COUNTIF($DT$23:$DT$111,DB63)+COUNTIF($EC$23:$EC$111,DB63)+COUNTIF($EL$23:$EL$111,DB63)-1</f>
        <v>0</v>
      </c>
      <c r="DD63" s="106"/>
      <c r="DE63" s="55"/>
      <c r="DF63" s="60">
        <v>2</v>
      </c>
      <c r="DG63" s="139"/>
      <c r="DH63" s="140">
        <v>1</v>
      </c>
      <c r="DI63" s="141">
        <v>0</v>
      </c>
      <c r="DJ63" s="57" t="s">
        <v>305</v>
      </c>
      <c r="DK63" s="14" t="str">
        <f>IF(DI63=99,"",CONCATENATE("10.0.",TEXT(((BITWISE_AND('IP Address (no mod)'!$D$20,DJ$19)/4)+DI63*8+120),"0"),".",TEXT((BITWISE_AND('IP Address (no mod)'!$D$21,DJ$19)*64)+DF$63*10+DH63,"0")))</f>
        <v>10.0.123.21</v>
      </c>
      <c r="DL63" s="100">
        <f>COUNTIF($I$23:$I$111,DK63)+COUNTIF($R$23:$R$111,DK63)+COUNTIF($AA$23:$AA$111,DK63)+COUNTIF($AJ$23:$AJ$111,DK63)+COUNTIF($AQ$23:$AQ$111,DK63)+COUNTIF($AZ$23:$AZ$111,DK63)+COUNTIF($BI$23:$BI$111,DK63)+COUNTIF($BR$23:$BR$111,DK63)+COUNTIF($CA$23:$CA$111,DK63)+COUNTIF($CJ$23:$CJ$111,DK63)+COUNTIF($CS$23:$CS$111,DK63)+COUNTIF($DB$23:$DB$111,DK63)+COUNTIF($DK$23:$DK$111,DK63)+COUNTIF($DT$23:$DT$111,DK63)+COUNTIF($EC$23:$EC$111,DK63)+COUNTIF($EL$23:$EL$111,DK63)-1</f>
        <v>0</v>
      </c>
      <c r="DM63" s="106"/>
      <c r="DN63" s="55"/>
      <c r="DO63" s="60">
        <v>2</v>
      </c>
      <c r="DP63" s="139"/>
      <c r="DQ63" s="140">
        <v>1</v>
      </c>
      <c r="DR63" s="141">
        <v>0</v>
      </c>
      <c r="DS63" s="57" t="s">
        <v>305</v>
      </c>
      <c r="DT63" s="14" t="str">
        <f>IF(DR63=99,"",CONCATENATE("10.0.",TEXT(((BITWISE_AND('IP Address (no mod)'!$D$20,DS$19)/4)+DR63*8+120),"0"),".",TEXT((BITWISE_AND('IP Address (no mod)'!$D$21,DS$19)*64)+DO$63*10+DQ63,"0")))</f>
        <v>10.0.123.85</v>
      </c>
      <c r="DU63" s="100">
        <f>COUNTIF($I$23:$I$111,DT63)+COUNTIF($R$23:$R$111,DT63)+COUNTIF($AA$23:$AA$111,DT63)+COUNTIF($AJ$23:$AJ$111,DT63)+COUNTIF($AQ$23:$AQ$111,DT63)+COUNTIF($AZ$23:$AZ$111,DT63)+COUNTIF($BI$23:$BI$111,DT63)+COUNTIF($BR$23:$BR$111,DT63)+COUNTIF($CA$23:$CA$111,DT63)+COUNTIF($CJ$23:$CJ$111,DT63)+COUNTIF($CS$23:$CS$111,DT63)+COUNTIF($DB$23:$DB$111,DT63)+COUNTIF($DK$23:$DK$111,DT63)+COUNTIF($DT$23:$DT$111,DT63)+COUNTIF($EC$23:$EC$111,DT63)+COUNTIF($EL$23:$EL$111,DT63)-1</f>
        <v>0</v>
      </c>
      <c r="DV63" s="98"/>
      <c r="DW63" s="55"/>
      <c r="DX63" s="60">
        <v>2</v>
      </c>
      <c r="DY63" s="139"/>
      <c r="DZ63" s="140">
        <v>1</v>
      </c>
      <c r="EA63" s="141">
        <v>0</v>
      </c>
      <c r="EB63" s="57" t="s">
        <v>305</v>
      </c>
      <c r="EC63" s="14" t="str">
        <f>IF(EA63=99,"",CONCATENATE("10.0.",TEXT(((BITWISE_AND('IP Address (no mod)'!$D$20,EB$19)/4)+EA63*8+120),"0"),".",TEXT((BITWISE_AND('IP Address (no mod)'!$D$21,EB$19)*64)+DX$63*10+DZ63,"0")))</f>
        <v>10.0.123.149</v>
      </c>
      <c r="ED63" s="100">
        <f>COUNTIF($I$23:$I$111,EC63)+COUNTIF($R$23:$R$111,EC63)+COUNTIF($AA$23:$AA$111,EC63)+COUNTIF($AJ$23:$AJ$111,EC63)+COUNTIF($AQ$23:$AQ$111,EC63)+COUNTIF($AZ$23:$AZ$111,EC63)+COUNTIF($BI$23:$BI$111,EC63)+COUNTIF($BR$23:$BR$111,EC63)+COUNTIF($CA$23:$CA$111,EC63)+COUNTIF($CJ$23:$CJ$111,EC63)+COUNTIF($CS$23:$CS$111,EC63)+COUNTIF($DB$23:$DB$111,EC63)+COUNTIF($DK$23:$DK$111,EC63)+COUNTIF($DT$23:$DT$111,EC63)+COUNTIF($EC$23:$EC$111,EC63)+COUNTIF($EL$23:$EL$111,EC63)-1</f>
        <v>0</v>
      </c>
      <c r="EE63" s="106"/>
      <c r="EF63" s="55"/>
      <c r="EG63" s="60">
        <v>2</v>
      </c>
      <c r="EH63" s="139"/>
      <c r="EI63" s="140">
        <v>1</v>
      </c>
      <c r="EJ63" s="141">
        <v>0</v>
      </c>
      <c r="EK63" s="57" t="s">
        <v>305</v>
      </c>
      <c r="EL63" s="14" t="str">
        <f>IF(EJ63=99,"",CONCATENATE("10.0.",TEXT(((BITWISE_AND('IP Address (no mod)'!$D$20,EK$19)/4)+EJ63*8+120),"0"),".",TEXT((BITWISE_AND('IP Address (no mod)'!$D$21,EK$19)*64)+EG$63*10+EI63,"0")))</f>
        <v>10.0.123.213</v>
      </c>
      <c r="EM63" s="100">
        <f>COUNTIF($I$23:$I$111,EL63)+COUNTIF($R$23:$R$111,EL63)+COUNTIF($AA$23:$AA$111,EL63)+COUNTIF($AJ$23:$AJ$111,EL63)+COUNTIF($AQ$23:$AQ$111,EL63)+COUNTIF($AZ$23:$AZ$111,EL63)+COUNTIF($BI$23:$BI$111,EL63)+COUNTIF($BR$23:$BR$111,EL63)+COUNTIF($CA$23:$CA$111,EL63)+COUNTIF($CJ$23:$CJ$111,EL63)+COUNTIF($CS$23:$CS$111,EL63)+COUNTIF($DB$23:$DB$111,EL63)+COUNTIF($DK$23:$DK$111,EL63)+COUNTIF($DT$23:$DT$111,EL63)+COUNTIF($EC$23:$EC$111,EL63)+COUNTIF($EL$23:$EL$111,EL63)-1</f>
        <v>0</v>
      </c>
      <c r="EN63" s="107"/>
    </row>
    <row r="64" spans="1:144" ht="14.45" customHeight="1">
      <c r="A64" s="322"/>
      <c r="B64" s="102"/>
      <c r="C64" s="55"/>
      <c r="D64" s="329" t="s">
        <v>304</v>
      </c>
      <c r="E64" s="61" t="s">
        <v>241</v>
      </c>
      <c r="F64" s="61">
        <v>0</v>
      </c>
      <c r="G64" s="61">
        <v>5</v>
      </c>
      <c r="H64" s="62" t="s">
        <v>306</v>
      </c>
      <c r="I64" s="73" t="str">
        <f>IF(G64=99,"",CONCATENATE("10.0.",TEXT(((BITWISE_AND('IP Address (no mod)'!$D$20,H$59)/4)+G64*8),"0"),".",TEXT((BITWISE_AND('IP Address (no mod)'!$D$21,H$59)*64)+D$63*10+F64,"0")))</f>
        <v>10.0.40.84</v>
      </c>
      <c r="J64" s="178">
        <f t="shared" ref="J64:J73" si="32">IF(I64="",0,COUNTIF($I$23:$I$111,I64)+COUNTIF($R$23:$R$111,I64)+COUNTIF($AA$23:$AA$111,I64)+COUNTIF($AJ$23:$AJ$111,I64)+COUNTIF($AQ$23:$AQ$111,I64)+COUNTIF($AZ$23:$AZ$111,I64)+COUNTIF($BI$23:$BI$111,I64)+COUNTIF($BR$23:$BR$111,I64)+COUNTIF($CA$23:$CA$111,I64)+COUNTIF($CJ$23:$CJ$111,I64)+COUNTIF($CS$23:$CS$111,I64)+COUNTIF($DB$23:$DB$111,I64)+COUNTIF($DK$23:$DK$111,I64)+COUNTIF($DT$23:$DT$111,I64)+COUNTIF($EC$23:$EC$111,I64)+COUNTIF($EL$23:$EL$111,I64)-1)</f>
        <v>0</v>
      </c>
      <c r="K64" s="107"/>
      <c r="L64" s="55"/>
      <c r="M64" s="329" t="s">
        <v>305</v>
      </c>
      <c r="N64" s="61" t="s">
        <v>241</v>
      </c>
      <c r="O64" s="61">
        <v>0</v>
      </c>
      <c r="P64" s="61">
        <v>5</v>
      </c>
      <c r="Q64" s="62" t="s">
        <v>307</v>
      </c>
      <c r="R64" s="14" t="str">
        <f>IF(P64=99,"",CONCATENATE("10.0.",TEXT(((BITWISE_AND('IP Address (no mod)'!$D$20,Q$19)/4)+P64*8),"0"),".",TEXT((BITWISE_AND('IP Address (no mod)'!$D$21,Q$19)*64)+M$63*10+O64,"0")))</f>
        <v>10.0.40.148</v>
      </c>
      <c r="S64" s="100">
        <f t="shared" ref="S64:S73" si="33">IF(R64="",0,COUNTIF($I$23:$I$111,R64)+COUNTIF($R$23:$R$111,R64)+COUNTIF($AA$23:$AA$111,R64)+COUNTIF($AJ$23:$AJ$111,R64)+COUNTIF($AQ$23:$AQ$111,R64)+COUNTIF($AZ$23:$AZ$111,R64)+COUNTIF($BI$23:$BI$111,R64)+COUNTIF($BR$23:$BR$111,R64)+COUNTIF($CA$23:$CA$111,R64)+COUNTIF($CJ$23:$CJ$111,R64)+COUNTIF($CS$23:$CS$111,R64)+COUNTIF($DB$23:$DB$111,R64)+COUNTIF($DK$23:$DK$111,R64)+COUNTIF($DT$23:$DT$111,R64)+COUNTIF($EC$23:$EC$111,R64)+COUNTIF($EL$23:$EL$111,R64)-1)</f>
        <v>0</v>
      </c>
      <c r="T64" s="106"/>
      <c r="U64" s="55"/>
      <c r="V64" s="329" t="s">
        <v>305</v>
      </c>
      <c r="W64" s="61" t="s">
        <v>241</v>
      </c>
      <c r="X64" s="61">
        <v>0</v>
      </c>
      <c r="Y64" s="61">
        <v>5</v>
      </c>
      <c r="Z64" s="62" t="s">
        <v>307</v>
      </c>
      <c r="AA64" s="14" t="str">
        <f>IF(Y64=99,"",CONCATENATE("10.0.",TEXT(((BITWISE_AND('IP Address (no mod)'!$D$20,Z$19)/4)+Y64*8),"0"),".",TEXT((BITWISE_AND('IP Address (no mod)'!$D$21,Z$19)*64)+V$63*10+X64,"0")))</f>
        <v>10.0.40.212</v>
      </c>
      <c r="AB64" s="100">
        <f t="shared" ref="AB64:AB73" si="34">IF(AA64="",0,COUNTIF($I$23:$I$111,AA64)+COUNTIF($R$23:$R$111,AA64)+COUNTIF($AA$23:$AA$111,AA64)+COUNTIF($AJ$23:$AJ$111,AA64)+COUNTIF($AQ$23:$AQ$111,AA64)+COUNTIF($AZ$23:$AZ$111,AA64)+COUNTIF($BI$23:$BI$111,AA64)+COUNTIF($BR$23:$BR$111,AA64)+COUNTIF($CA$23:$CA$111,AA64)+COUNTIF($CJ$23:$CJ$111,AA64)+COUNTIF($CS$23:$CS$111,AA64)+COUNTIF($DB$23:$DB$111,AA64)+COUNTIF($DK$23:$DK$111,AA64)+COUNTIF($DT$23:$DT$111,AA64)+COUNTIF($EC$23:$EC$111,AA64)+COUNTIF($EL$23:$EL$111,AA64)-1)</f>
        <v>0</v>
      </c>
      <c r="AC64" s="106"/>
      <c r="AD64" s="55"/>
      <c r="AE64" s="329" t="s">
        <v>305</v>
      </c>
      <c r="AF64" s="61" t="s">
        <v>241</v>
      </c>
      <c r="AG64" s="61">
        <v>0</v>
      </c>
      <c r="AH64" s="61">
        <v>5</v>
      </c>
      <c r="AI64" s="62" t="s">
        <v>307</v>
      </c>
      <c r="AJ64" s="14" t="str">
        <f>IF(AH64=99,"",CONCATENATE("10.0.",TEXT(((BITWISE_AND('IP Address (no mod)'!$D$20,AI$19)/4)+AH64*8),"0"),".",TEXT((BITWISE_AND('IP Address (no mod)'!$D$21,AI$19)*64)+AE$63*10+AG64,"0")))</f>
        <v>10.0.45.148</v>
      </c>
      <c r="AK64" s="100">
        <f t="shared" ref="AK64:AK73" si="35">IF(AJ64="",0,COUNTIF($I$23:$I$111,AJ64)+COUNTIF($R$23:$R$111,AJ64)+COUNTIF($AA$23:$AA$111,AJ64)+COUNTIF($AJ$23:$AJ$111,AJ64)+COUNTIF($AQ$23:$AQ$111,AJ64)+COUNTIF($AZ$23:$AZ$111,AJ64)+COUNTIF($BI$23:$BI$111,AJ64)+COUNTIF($BR$23:$BR$111,AJ64)+COUNTIF($CA$23:$CA$111,AJ64)+COUNTIF($CJ$23:$CJ$111,AJ64)+COUNTIF($CS$23:$CS$111,AJ64)+COUNTIF($DB$23:$DB$111,AJ64)+COUNTIF($DK$23:$DK$111,AJ64)+COUNTIF($DT$23:$DT$111,AJ64)+COUNTIF($EC$23:$EC$111,AJ64)+COUNTIF($EL$23:$EL$111,AJ64)-1)</f>
        <v>0</v>
      </c>
      <c r="AL64" s="66"/>
      <c r="AM64" s="66"/>
      <c r="AN64" s="66"/>
      <c r="AO64" s="66"/>
      <c r="AP64" s="66"/>
      <c r="AQ64" s="66"/>
      <c r="AR64" s="59"/>
      <c r="AS64" s="106"/>
      <c r="AT64" s="55"/>
      <c r="AU64" s="329" t="s">
        <v>305</v>
      </c>
      <c r="AV64" s="61" t="s">
        <v>241</v>
      </c>
      <c r="AW64" s="61">
        <v>0</v>
      </c>
      <c r="AX64" s="61">
        <v>5</v>
      </c>
      <c r="AY64" s="62" t="s">
        <v>307</v>
      </c>
      <c r="AZ64" s="14" t="str">
        <f>IF(AX64=99,"",CONCATENATE("10.0.",TEXT(((BITWISE_AND('IP Address (no mod)'!$D$20,AY$19)/4)+AX64*8),"0"),".",TEXT((BITWISE_AND('IP Address (no mod)'!$D$21,AY$19)*64)+AU$63*10+AW64,"0")))</f>
        <v>10.0.41.84</v>
      </c>
      <c r="BA64" s="100">
        <f t="shared" ref="BA64:BA73" si="36">IF(AZ64="",0,COUNTIF($I$23:$I$111,AZ64)+COUNTIF($R$23:$R$111,AZ64)+COUNTIF($AA$23:$AA$111,AZ64)+COUNTIF($AJ$23:$AJ$111,AZ64)+COUNTIF($AQ$23:$AQ$111,AZ64)+COUNTIF($AZ$23:$AZ$111,AZ64)+COUNTIF($BI$23:$BI$111,AZ64)+COUNTIF($BR$23:$BR$111,AZ64)+COUNTIF($CA$23:$CA$111,AZ64)+COUNTIF($CJ$23:$CJ$111,AZ64)+COUNTIF($CS$23:$CS$111,AZ64)+COUNTIF($DB$23:$DB$111,AZ64)+COUNTIF($DK$23:$DK$111,AZ64)+COUNTIF($DT$23:$DT$111,AZ64)+COUNTIF($EC$23:$EC$111,AZ64)+COUNTIF($EL$23:$EL$111,AZ64)-1)</f>
        <v>0</v>
      </c>
      <c r="BB64" s="106"/>
      <c r="BC64" s="55"/>
      <c r="BD64" s="329" t="s">
        <v>305</v>
      </c>
      <c r="BE64" s="61" t="s">
        <v>241</v>
      </c>
      <c r="BF64" s="61">
        <v>0</v>
      </c>
      <c r="BG64" s="61">
        <v>5</v>
      </c>
      <c r="BH64" s="62" t="s">
        <v>307</v>
      </c>
      <c r="BI64" s="14" t="str">
        <f>IF(BG64=99,"",CONCATENATE("10.0.",TEXT(((BITWISE_AND('IP Address (no mod)'!$D$20,BH$19)/4)+BG64*8),"0"),".",TEXT((BITWISE_AND('IP Address (no mod)'!$D$21,BH$19)*64)+BD$63*10+BF64,"0")))</f>
        <v>10.0.41.148</v>
      </c>
      <c r="BJ64" s="100">
        <f t="shared" ref="BJ64:BJ73" si="37">IF(BI64="",0,COUNTIF($I$23:$I$111,BI64)+COUNTIF($R$23:$R$111,BI64)+COUNTIF($AA$23:$AA$111,BI64)+COUNTIF($AJ$23:$AJ$111,BI64)+COUNTIF($AQ$23:$AQ$111,BI64)+COUNTIF($AZ$23:$AZ$111,BI64)+COUNTIF($BI$23:$BI$111,BI64)+COUNTIF($BR$23:$BR$111,BI64)+COUNTIF($CA$23:$CA$111,BI64)+COUNTIF($CJ$23:$CJ$111,BI64)+COUNTIF($CS$23:$CS$111,BI64)+COUNTIF($DB$23:$DB$111,BI64)+COUNTIF($DK$23:$DK$111,BI64)+COUNTIF($DT$23:$DT$111,BI64)+COUNTIF($EC$23:$EC$111,BI64)+COUNTIF($EL$23:$EL$111,BI64)-1)</f>
        <v>0</v>
      </c>
      <c r="BK64" s="106"/>
      <c r="BL64" s="55"/>
      <c r="BM64" s="329" t="s">
        <v>305</v>
      </c>
      <c r="BN64" s="61" t="s">
        <v>241</v>
      </c>
      <c r="BO64" s="61">
        <v>0</v>
      </c>
      <c r="BP64" s="61">
        <v>5</v>
      </c>
      <c r="BQ64" s="62" t="s">
        <v>307</v>
      </c>
      <c r="BR64" s="14" t="str">
        <f>IF(BP64=99,"",CONCATENATE("10.0.",TEXT(((BITWISE_AND('IP Address (no mod)'!$D$20,BQ$19)/4)+BP64*8),"0"),".",TEXT((BITWISE_AND('IP Address (no mod)'!$D$21,BQ$19)*64)+BM$63*10+BO64,"0")))</f>
        <v>10.0.41.212</v>
      </c>
      <c r="BS64" s="100">
        <f t="shared" ref="BS64:BS73" si="38">IF(BR64="",0,COUNTIF($I$23:$I$111,BR64)+COUNTIF($R$23:$R$111,BR64)+COUNTIF($AA$23:$AA$111,BR64)+COUNTIF($AJ$23:$AJ$111,BR64)+COUNTIF($AQ$23:$AQ$111,BR64)+COUNTIF($AZ$23:$AZ$111,BR64)+COUNTIF($BI$23:$BI$111,BR64)+COUNTIF($BR$23:$BR$111,BR64)+COUNTIF($CA$23:$CA$111,BR64)+COUNTIF($CJ$23:$CJ$111,BR64)+COUNTIF($CS$23:$CS$111,BR64)+COUNTIF($DB$23:$DB$111,BR64)+COUNTIF($DK$23:$DK$111,BR64)+COUNTIF($DT$23:$DT$111,BR64)+COUNTIF($EC$23:$EC$111,BR64)+COUNTIF($EL$23:$EL$111,BR64)-1)</f>
        <v>0</v>
      </c>
      <c r="BT64" s="106"/>
      <c r="BU64" s="55"/>
      <c r="BV64" s="329" t="s">
        <v>305</v>
      </c>
      <c r="BW64" s="61" t="s">
        <v>241</v>
      </c>
      <c r="BX64" s="61">
        <v>0</v>
      </c>
      <c r="BY64" s="61">
        <v>5</v>
      </c>
      <c r="BZ64" s="62" t="s">
        <v>307</v>
      </c>
      <c r="CA64" s="14" t="str">
        <f>IF(BY64=99,"",CONCATENATE("10.0.",TEXT(((BITWISE_AND('IP Address (no mod)'!$D$20,BZ$19)/4)+BY64*8),"0"),".",TEXT((BITWISE_AND('IP Address (no mod)'!$D$21,BZ$19)*64)+BV$63*10+BX64,"0")))</f>
        <v>10.0.42.20</v>
      </c>
      <c r="CB64" s="100">
        <f t="shared" ref="CB64:CB73" si="39">IF(CA64="",0,COUNTIF($I$23:$I$111,CA64)+COUNTIF($R$23:$R$111,CA64)+COUNTIF($AA$23:$AA$111,CA64)+COUNTIF($AJ$23:$AJ$111,CA64)+COUNTIF($AQ$23:$AQ$111,CA64)+COUNTIF($AZ$23:$AZ$111,CA64)+COUNTIF($BI$23:$BI$111,CA64)+COUNTIF($BR$23:$BR$111,CA64)+COUNTIF($CA$23:$CA$111,CA64)+COUNTIF($CJ$23:$CJ$111,CA64)+COUNTIF($CS$23:$CS$111,CA64)+COUNTIF($DB$23:$DB$111,CA64)+COUNTIF($DK$23:$DK$111,CA64)+COUNTIF($DT$23:$DT$111,CA64)+COUNTIF($EC$23:$EC$111,CA64)+COUNTIF($EL$23:$EL$111,CA64)-1)</f>
        <v>0</v>
      </c>
      <c r="CC64" s="106"/>
      <c r="CD64" s="55"/>
      <c r="CE64" s="329" t="s">
        <v>305</v>
      </c>
      <c r="CF64" s="61" t="s">
        <v>241</v>
      </c>
      <c r="CG64" s="61">
        <v>0</v>
      </c>
      <c r="CH64" s="61">
        <v>5</v>
      </c>
      <c r="CI64" s="62" t="s">
        <v>307</v>
      </c>
      <c r="CJ64" s="14" t="str">
        <f>IF(CH64=99,"",CONCATENATE("10.0.",TEXT(((BITWISE_AND('IP Address (no mod)'!$D$20,CI$19)/4)+CH64*8),"0"),".",TEXT((BITWISE_AND('IP Address (no mod)'!$D$21,CI$19)*64)+CE$63*10+CG64,"0")))</f>
        <v>10.0.42.84</v>
      </c>
      <c r="CK64" s="100">
        <f t="shared" ref="CK64:CK73" si="40">IF(CJ64="",0,COUNTIF($I$23:$I$111,CJ64)+COUNTIF($R$23:$R$111,CJ64)+COUNTIF($AA$23:$AA$111,CJ64)+COUNTIF($AJ$23:$AJ$111,CJ64)+COUNTIF($AQ$23:$AQ$111,CJ64)+COUNTIF($AZ$23:$AZ$111,CJ64)+COUNTIF($BI$23:$BI$111,CJ64)+COUNTIF($BR$23:$BR$111,CJ64)+COUNTIF($CA$23:$CA$111,CJ64)+COUNTIF($CJ$23:$CJ$111,CJ64)+COUNTIF($CS$23:$CS$111,CJ64)+COUNTIF($DB$23:$DB$111,CJ64)+COUNTIF($DK$23:$DK$111,CJ64)+COUNTIF($DT$23:$DT$111,CJ64)+COUNTIF($EC$23:$EC$111,CJ64)+COUNTIF($EL$23:$EL$111,CJ64)-1)</f>
        <v>0</v>
      </c>
      <c r="CL64" s="106"/>
      <c r="CM64" s="55"/>
      <c r="CN64" s="329" t="s">
        <v>305</v>
      </c>
      <c r="CO64" s="61" t="s">
        <v>241</v>
      </c>
      <c r="CP64" s="61">
        <v>0</v>
      </c>
      <c r="CQ64" s="61">
        <v>5</v>
      </c>
      <c r="CR64" s="62" t="s">
        <v>307</v>
      </c>
      <c r="CS64" s="14" t="str">
        <f>IF(CQ64=99,"",CONCATENATE("10.0.",TEXT(((BITWISE_AND('IP Address (no mod)'!$D$20,CR$19)/4)+CQ64*8),"0"),".",TEXT((BITWISE_AND('IP Address (no mod)'!$D$21,CR$19)*64)+CN$63*10+CP64,"0")))</f>
        <v>10.0.42.148</v>
      </c>
      <c r="CT64" s="100">
        <f t="shared" ref="CT64:CT73" si="41">IF(CS64="",0,COUNTIF($I$23:$I$111,CS64)+COUNTIF($R$23:$R$111,CS64)+COUNTIF($AA$23:$AA$111,CS64)+COUNTIF($AJ$23:$AJ$111,CS64)+COUNTIF($AQ$23:$AQ$111,CS64)+COUNTIF($AZ$23:$AZ$111,CS64)+COUNTIF($BI$23:$BI$111,CS64)+COUNTIF($BR$23:$BR$111,CS64)+COUNTIF($CA$23:$CA$111,CS64)+COUNTIF($CJ$23:$CJ$111,CS64)+COUNTIF($CS$23:$CS$111,CS64)+COUNTIF($DB$23:$DB$111,CS64)+COUNTIF($DK$23:$DK$111,CS64)+COUNTIF($DT$23:$DT$111,CS64)+COUNTIF($EC$23:$EC$111,CS64)+COUNTIF($EL$23:$EL$111,CS64)-1)</f>
        <v>0</v>
      </c>
      <c r="CU64" s="106"/>
      <c r="CV64" s="55"/>
      <c r="CW64" s="329" t="s">
        <v>305</v>
      </c>
      <c r="CX64" s="61" t="s">
        <v>241</v>
      </c>
      <c r="CY64" s="61">
        <v>0</v>
      </c>
      <c r="CZ64" s="61">
        <v>5</v>
      </c>
      <c r="DA64" s="62" t="s">
        <v>307</v>
      </c>
      <c r="DB64" s="14" t="str">
        <f>IF(CZ64=99,"",CONCATENATE("10.0.",TEXT(((BITWISE_AND('IP Address (no mod)'!$D$20,DA$19)/4)+CZ64*8),"0"),".",TEXT((BITWISE_AND('IP Address (no mod)'!$D$21,DA$19)*64)+CW$63*10+CY64,"0")))</f>
        <v>10.0.42.212</v>
      </c>
      <c r="DC64" s="100">
        <f t="shared" ref="DC64:DC73" si="42">IF(DB64="",0,COUNTIF($I$23:$I$111,DB64)+COUNTIF($R$23:$R$111,DB64)+COUNTIF($AA$23:$AA$111,DB64)+COUNTIF($AJ$23:$AJ$111,DB64)+COUNTIF($AQ$23:$AQ$111,DB64)+COUNTIF($AZ$23:$AZ$111,DB64)+COUNTIF($BI$23:$BI$111,DB64)+COUNTIF($BR$23:$BR$111,DB64)+COUNTIF($CA$23:$CA$111,DB64)+COUNTIF($CJ$23:$CJ$111,DB64)+COUNTIF($CS$23:$CS$111,DB64)+COUNTIF($DB$23:$DB$111,DB64)+COUNTIF($DK$23:$DK$111,DB64)+COUNTIF($DT$23:$DT$111,DB64)+COUNTIF($EC$23:$EC$111,DB64)+COUNTIF($EL$23:$EL$111,DB64)-1)</f>
        <v>0</v>
      </c>
      <c r="DD64" s="106"/>
      <c r="DE64" s="55"/>
      <c r="DF64" s="329" t="s">
        <v>305</v>
      </c>
      <c r="DG64" s="61" t="s">
        <v>241</v>
      </c>
      <c r="DH64" s="61">
        <v>0</v>
      </c>
      <c r="DI64" s="61">
        <v>5</v>
      </c>
      <c r="DJ64" s="62" t="s">
        <v>307</v>
      </c>
      <c r="DK64" s="14" t="str">
        <f>IF(DI64=99,"",CONCATENATE("10.0.",TEXT(((BITWISE_AND('IP Address (no mod)'!$D$20,DJ$19)/4)+DI64*8),"0"),".",TEXT((BITWISE_AND('IP Address (no mod)'!$D$21,DJ$19)*64)+DF$63*10+DH64,"0")))</f>
        <v>10.0.43.20</v>
      </c>
      <c r="DL64" s="100">
        <f t="shared" ref="DL64:DL73" si="43">IF(DK64="",0,COUNTIF($I$23:$I$111,DK64)+COUNTIF($R$23:$R$111,DK64)+COUNTIF($AA$23:$AA$111,DK64)+COUNTIF($AJ$23:$AJ$111,DK64)+COUNTIF($AQ$23:$AQ$111,DK64)+COUNTIF($AZ$23:$AZ$111,DK64)+COUNTIF($BI$23:$BI$111,DK64)+COUNTIF($BR$23:$BR$111,DK64)+COUNTIF($CA$23:$CA$111,DK64)+COUNTIF($CJ$23:$CJ$111,DK64)+COUNTIF($CS$23:$CS$111,DK64)+COUNTIF($DB$23:$DB$111,DK64)+COUNTIF($DK$23:$DK$111,DK64)+COUNTIF($DT$23:$DT$111,DK64)+COUNTIF($EC$23:$EC$111,DK64)+COUNTIF($EL$23:$EL$111,DK64)-1)</f>
        <v>0</v>
      </c>
      <c r="DM64" s="106"/>
      <c r="DN64" s="55"/>
      <c r="DO64" s="329" t="s">
        <v>305</v>
      </c>
      <c r="DP64" s="61" t="s">
        <v>241</v>
      </c>
      <c r="DQ64" s="61">
        <v>0</v>
      </c>
      <c r="DR64" s="61">
        <v>5</v>
      </c>
      <c r="DS64" s="62" t="s">
        <v>307</v>
      </c>
      <c r="DT64" s="14" t="str">
        <f>IF(DR64=99,"",CONCATENATE("10.0.",TEXT(((BITWISE_AND('IP Address (no mod)'!$D$20,DS$19)/4)+DR64*8),"0"),".",TEXT((BITWISE_AND('IP Address (no mod)'!$D$21,DS$19)*64)+DO$63*10+DQ64,"0")))</f>
        <v>10.0.43.84</v>
      </c>
      <c r="DU64" s="100">
        <f t="shared" ref="DU64:DU73" si="44">IF(DT64="",0,COUNTIF($I$23:$I$111,DT64)+COUNTIF($R$23:$R$111,DT64)+COUNTIF($AA$23:$AA$111,DT64)+COUNTIF($AJ$23:$AJ$111,DT64)+COUNTIF($AQ$23:$AQ$111,DT64)+COUNTIF($AZ$23:$AZ$111,DT64)+COUNTIF($BI$23:$BI$111,DT64)+COUNTIF($BR$23:$BR$111,DT64)+COUNTIF($CA$23:$CA$111,DT64)+COUNTIF($CJ$23:$CJ$111,DT64)+COUNTIF($CS$23:$CS$111,DT64)+COUNTIF($DB$23:$DB$111,DT64)+COUNTIF($DK$23:$DK$111,DT64)+COUNTIF($DT$23:$DT$111,DT64)+COUNTIF($EC$23:$EC$111,DT64)+COUNTIF($EL$23:$EL$111,DT64)-1)</f>
        <v>0</v>
      </c>
      <c r="DV64" s="98"/>
      <c r="DW64" s="55"/>
      <c r="DX64" s="329" t="s">
        <v>305</v>
      </c>
      <c r="DY64" s="61" t="s">
        <v>241</v>
      </c>
      <c r="DZ64" s="61">
        <v>0</v>
      </c>
      <c r="EA64" s="61">
        <v>5</v>
      </c>
      <c r="EB64" s="62" t="s">
        <v>307</v>
      </c>
      <c r="EC64" s="14" t="str">
        <f>IF(EA64=99,"",CONCATENATE("10.0.",TEXT(((BITWISE_AND('IP Address (no mod)'!$D$20,EB$19)/4)+EA64*8),"0"),".",TEXT((BITWISE_AND('IP Address (no mod)'!$D$21,EB$19)*64)+DX$63*10+DZ64,"0")))</f>
        <v>10.0.43.148</v>
      </c>
      <c r="ED64" s="100">
        <f t="shared" ref="ED64:ED73" si="45">IF(EC64="",0,COUNTIF($I$23:$I$111,EC64)+COUNTIF($R$23:$R$111,EC64)+COUNTIF($AA$23:$AA$111,EC64)+COUNTIF($AJ$23:$AJ$111,EC64)+COUNTIF($AQ$23:$AQ$111,EC64)+COUNTIF($AZ$23:$AZ$111,EC64)+COUNTIF($BI$23:$BI$111,EC64)+COUNTIF($BR$23:$BR$111,EC64)+COUNTIF($CA$23:$CA$111,EC64)+COUNTIF($CJ$23:$CJ$111,EC64)+COUNTIF($CS$23:$CS$111,EC64)+COUNTIF($DB$23:$DB$111,EC64)+COUNTIF($DK$23:$DK$111,EC64)+COUNTIF($DT$23:$DT$111,EC64)+COUNTIF($EC$23:$EC$111,EC64)+COUNTIF($EL$23:$EL$111,EC64)-1)</f>
        <v>0</v>
      </c>
      <c r="EE64" s="106"/>
      <c r="EF64" s="55"/>
      <c r="EG64" s="329" t="s">
        <v>304</v>
      </c>
      <c r="EH64" s="61" t="s">
        <v>241</v>
      </c>
      <c r="EI64" s="61">
        <v>0</v>
      </c>
      <c r="EJ64" s="61">
        <v>5</v>
      </c>
      <c r="EK64" s="62" t="s">
        <v>306</v>
      </c>
      <c r="EL64" s="14" t="str">
        <f>IF(EJ64=99,"",CONCATENATE("10.0.",TEXT(((BITWISE_AND('IP Address (no mod)'!$D$20,EK$19)/4)+EJ64*8),"0"),".",TEXT((BITWISE_AND('IP Address (no mod)'!$D$21,EK$19)*64)+EG$63*10+EI64,"0")))</f>
        <v>10.0.43.212</v>
      </c>
      <c r="EM64" s="100">
        <f t="shared" ref="EM64:EM73" si="46">IF(EL64="",0,COUNTIF($I$23:$I$111,EL64)+COUNTIF($R$23:$R$111,EL64)+COUNTIF($AA$23:$AA$111,EL64)+COUNTIF($AJ$23:$AJ$111,EL64)+COUNTIF($AQ$23:$AQ$111,EL64)+COUNTIF($AZ$23:$AZ$111,EL64)+COUNTIF($BI$23:$BI$111,EL64)+COUNTIF($BR$23:$BR$111,EL64)+COUNTIF($CA$23:$CA$111,EL64)+COUNTIF($CJ$23:$CJ$111,EL64)+COUNTIF($CS$23:$CS$111,EL64)+COUNTIF($DB$23:$DB$111,EL64)+COUNTIF($DK$23:$DK$111,EL64)+COUNTIF($DT$23:$DT$111,EL64)+COUNTIF($EC$23:$EC$111,EL64)+COUNTIF($EL$23:$EL$111,EL64)-1)</f>
        <v>0</v>
      </c>
      <c r="EN64" s="107"/>
    </row>
    <row r="65" spans="1:144" ht="15.75" customHeight="1">
      <c r="A65" s="322"/>
      <c r="B65" s="102"/>
      <c r="C65" s="55"/>
      <c r="D65" s="330"/>
      <c r="E65" s="63" t="s">
        <v>243</v>
      </c>
      <c r="F65" s="63">
        <v>1</v>
      </c>
      <c r="G65" s="63">
        <v>5</v>
      </c>
      <c r="H65" s="64" t="s">
        <v>308</v>
      </c>
      <c r="I65" s="73" t="str">
        <f>IF(G65=99,"",CONCATENATE("10.0.",TEXT(((BITWISE_AND('IP Address (no mod)'!$D$20,H$59)/4)+G65*8),"0"),".",TEXT((BITWISE_AND('IP Address (no mod)'!$D$21,H$59)*64)+D$63*10+F65,"0")))</f>
        <v>10.0.40.85</v>
      </c>
      <c r="J65" s="178">
        <f t="shared" si="32"/>
        <v>0</v>
      </c>
      <c r="K65" s="107"/>
      <c r="L65" s="55"/>
      <c r="M65" s="330"/>
      <c r="N65" s="63" t="s">
        <v>243</v>
      </c>
      <c r="O65" s="63">
        <v>1</v>
      </c>
      <c r="P65" s="63">
        <v>5</v>
      </c>
      <c r="Q65" s="64" t="s">
        <v>308</v>
      </c>
      <c r="R65" s="4" t="str">
        <f>IF(P65=99,"",CONCATENATE("10.0.",TEXT(((BITWISE_AND('IP Address (no mod)'!$D$20,Q$19)/4)+P65*8),"0"),".",TEXT((BITWISE_AND('IP Address (no mod)'!$D$21,Q$19)*64)+M$63*10+O65,"0")))</f>
        <v>10.0.40.149</v>
      </c>
      <c r="S65" s="100">
        <f t="shared" si="33"/>
        <v>0</v>
      </c>
      <c r="T65" s="106"/>
      <c r="U65" s="55"/>
      <c r="V65" s="330"/>
      <c r="W65" s="63" t="s">
        <v>243</v>
      </c>
      <c r="X65" s="63">
        <v>1</v>
      </c>
      <c r="Y65" s="63">
        <v>5</v>
      </c>
      <c r="Z65" s="64" t="s">
        <v>309</v>
      </c>
      <c r="AA65" s="4" t="str">
        <f>IF(Y65=99,"",CONCATENATE("10.0.",TEXT(((BITWISE_AND('IP Address (no mod)'!$D$20,Z$19)/4)+Y65*8),"0"),".",TEXT((BITWISE_AND('IP Address (no mod)'!$D$21,Z$19)*64)+V$63*10+X65,"0")))</f>
        <v>10.0.40.213</v>
      </c>
      <c r="AB65" s="100">
        <f t="shared" si="34"/>
        <v>0</v>
      </c>
      <c r="AC65" s="106"/>
      <c r="AD65" s="55"/>
      <c r="AE65" s="330"/>
      <c r="AF65" s="63" t="s">
        <v>243</v>
      </c>
      <c r="AG65" s="63">
        <v>1</v>
      </c>
      <c r="AH65" s="63">
        <v>5</v>
      </c>
      <c r="AI65" s="64" t="s">
        <v>309</v>
      </c>
      <c r="AJ65" s="4" t="str">
        <f>IF(AH65=99,"",CONCATENATE("10.0.",TEXT(((BITWISE_AND('IP Address (no mod)'!$D$20,AI$19)/4)+AH65*8),"0"),".",TEXT((BITWISE_AND('IP Address (no mod)'!$D$21,AI$19)*64)+AE$63*10+AG65,"0")))</f>
        <v>10.0.45.149</v>
      </c>
      <c r="AK65" s="100">
        <f t="shared" si="35"/>
        <v>0</v>
      </c>
      <c r="AL65" s="66"/>
      <c r="AM65" s="66"/>
      <c r="AN65" s="66"/>
      <c r="AO65" s="66"/>
      <c r="AP65" s="66"/>
      <c r="AQ65" s="66"/>
      <c r="AR65" s="59"/>
      <c r="AS65" s="106"/>
      <c r="AT65" s="55"/>
      <c r="AU65" s="330"/>
      <c r="AV65" s="63" t="s">
        <v>243</v>
      </c>
      <c r="AW65" s="63">
        <v>1</v>
      </c>
      <c r="AX65" s="63">
        <v>5</v>
      </c>
      <c r="AY65" s="64" t="s">
        <v>309</v>
      </c>
      <c r="AZ65" s="4" t="str">
        <f>IF(AX65=99,"",CONCATENATE("10.0.",TEXT(((BITWISE_AND('IP Address (no mod)'!$D$20,AY$19)/4)+AX65*8),"0"),".",TEXT((BITWISE_AND('IP Address (no mod)'!$D$21,AY$19)*64)+AU$63*10+AW65,"0")))</f>
        <v>10.0.41.85</v>
      </c>
      <c r="BA65" s="100">
        <f t="shared" si="36"/>
        <v>0</v>
      </c>
      <c r="BB65" s="106"/>
      <c r="BC65" s="55"/>
      <c r="BD65" s="330"/>
      <c r="BE65" s="63" t="s">
        <v>243</v>
      </c>
      <c r="BF65" s="63">
        <v>1</v>
      </c>
      <c r="BG65" s="63">
        <v>5</v>
      </c>
      <c r="BH65" s="64" t="s">
        <v>308</v>
      </c>
      <c r="BI65" s="4" t="str">
        <f>IF(BG65=99,"",CONCATENATE("10.0.",TEXT(((BITWISE_AND('IP Address (no mod)'!$D$20,BH$19)/4)+BG65*8),"0"),".",TEXT((BITWISE_AND('IP Address (no mod)'!$D$21,BH$19)*64)+BD$63*10+BF65,"0")))</f>
        <v>10.0.41.149</v>
      </c>
      <c r="BJ65" s="100">
        <f t="shared" si="37"/>
        <v>0</v>
      </c>
      <c r="BK65" s="106"/>
      <c r="BL65" s="55"/>
      <c r="BM65" s="330"/>
      <c r="BN65" s="63" t="s">
        <v>243</v>
      </c>
      <c r="BO65" s="63">
        <v>1</v>
      </c>
      <c r="BP65" s="63">
        <v>5</v>
      </c>
      <c r="BQ65" s="64" t="s">
        <v>309</v>
      </c>
      <c r="BR65" s="4" t="str">
        <f>IF(BP65=99,"",CONCATENATE("10.0.",TEXT(((BITWISE_AND('IP Address (no mod)'!$D$20,BQ$19)/4)+BP65*8),"0"),".",TEXT((BITWISE_AND('IP Address (no mod)'!$D$21,BQ$19)*64)+BM$63*10+BO65,"0")))</f>
        <v>10.0.41.213</v>
      </c>
      <c r="BS65" s="100">
        <f t="shared" si="38"/>
        <v>0</v>
      </c>
      <c r="BT65" s="106"/>
      <c r="BU65" s="55"/>
      <c r="BV65" s="330"/>
      <c r="BW65" s="63" t="s">
        <v>243</v>
      </c>
      <c r="BX65" s="63">
        <v>1</v>
      </c>
      <c r="BY65" s="63">
        <v>5</v>
      </c>
      <c r="BZ65" s="64" t="s">
        <v>308</v>
      </c>
      <c r="CA65" s="4" t="str">
        <f>IF(BY65=99,"",CONCATENATE("10.0.",TEXT(((BITWISE_AND('IP Address (no mod)'!$D$20,BZ$19)/4)+BY65*8),"0"),".",TEXT((BITWISE_AND('IP Address (no mod)'!$D$21,BZ$19)*64)+BV$63*10+BX65,"0")))</f>
        <v>10.0.42.21</v>
      </c>
      <c r="CB65" s="100">
        <f t="shared" si="39"/>
        <v>0</v>
      </c>
      <c r="CC65" s="106"/>
      <c r="CD65" s="55"/>
      <c r="CE65" s="330"/>
      <c r="CF65" s="63" t="s">
        <v>243</v>
      </c>
      <c r="CG65" s="63">
        <v>1</v>
      </c>
      <c r="CH65" s="63">
        <v>5</v>
      </c>
      <c r="CI65" s="64" t="s">
        <v>309</v>
      </c>
      <c r="CJ65" s="4" t="str">
        <f>IF(CH65=99,"",CONCATENATE("10.0.",TEXT(((BITWISE_AND('IP Address (no mod)'!$D$20,CI$19)/4)+CH65*8),"0"),".",TEXT((BITWISE_AND('IP Address (no mod)'!$D$21,CI$19)*64)+CE$63*10+CG65,"0")))</f>
        <v>10.0.42.85</v>
      </c>
      <c r="CK65" s="100">
        <f t="shared" si="40"/>
        <v>0</v>
      </c>
      <c r="CL65" s="106"/>
      <c r="CM65" s="55"/>
      <c r="CN65" s="330"/>
      <c r="CO65" s="63" t="s">
        <v>243</v>
      </c>
      <c r="CP65" s="63">
        <v>1</v>
      </c>
      <c r="CQ65" s="63">
        <v>5</v>
      </c>
      <c r="CR65" s="64" t="s">
        <v>308</v>
      </c>
      <c r="CS65" s="4" t="str">
        <f>IF(CQ65=99,"",CONCATENATE("10.0.",TEXT(((BITWISE_AND('IP Address (no mod)'!$D$20,CR$19)/4)+CQ65*8),"0"),".",TEXT((BITWISE_AND('IP Address (no mod)'!$D$21,CR$19)*64)+CN$63*10+CP65,"0")))</f>
        <v>10.0.42.149</v>
      </c>
      <c r="CT65" s="100">
        <f t="shared" si="41"/>
        <v>0</v>
      </c>
      <c r="CU65" s="106"/>
      <c r="CV65" s="55"/>
      <c r="CW65" s="330"/>
      <c r="CX65" s="63" t="s">
        <v>243</v>
      </c>
      <c r="CY65" s="63">
        <v>1</v>
      </c>
      <c r="CZ65" s="63">
        <v>5</v>
      </c>
      <c r="DA65" s="64" t="s">
        <v>309</v>
      </c>
      <c r="DB65" s="4" t="str">
        <f>IF(CZ65=99,"",CONCATENATE("10.0.",TEXT(((BITWISE_AND('IP Address (no mod)'!$D$20,DA$19)/4)+CZ65*8),"0"),".",TEXT((BITWISE_AND('IP Address (no mod)'!$D$21,DA$19)*64)+CW$63*10+CY65,"0")))</f>
        <v>10.0.42.213</v>
      </c>
      <c r="DC65" s="100">
        <f t="shared" si="42"/>
        <v>0</v>
      </c>
      <c r="DD65" s="106"/>
      <c r="DE65" s="55"/>
      <c r="DF65" s="330"/>
      <c r="DG65" s="63" t="s">
        <v>243</v>
      </c>
      <c r="DH65" s="63">
        <v>1</v>
      </c>
      <c r="DI65" s="63">
        <v>5</v>
      </c>
      <c r="DJ65" s="64" t="s">
        <v>308</v>
      </c>
      <c r="DK65" s="4" t="str">
        <f>IF(DI65=99,"",CONCATENATE("10.0.",TEXT(((BITWISE_AND('IP Address (no mod)'!$D$20,DJ$19)/4)+DI65*8),"0"),".",TEXT((BITWISE_AND('IP Address (no mod)'!$D$21,DJ$19)*64)+DF$63*10+DH65,"0")))</f>
        <v>10.0.43.21</v>
      </c>
      <c r="DL65" s="100">
        <f t="shared" si="43"/>
        <v>0</v>
      </c>
      <c r="DM65" s="106"/>
      <c r="DN65" s="55"/>
      <c r="DO65" s="330"/>
      <c r="DP65" s="63" t="s">
        <v>243</v>
      </c>
      <c r="DQ65" s="63">
        <v>1</v>
      </c>
      <c r="DR65" s="63">
        <v>5</v>
      </c>
      <c r="DS65" s="64" t="s">
        <v>309</v>
      </c>
      <c r="DT65" s="4" t="str">
        <f>IF(DR65=99,"",CONCATENATE("10.0.",TEXT(((BITWISE_AND('IP Address (no mod)'!$D$20,DS$19)/4)+DR65*8),"0"),".",TEXT((BITWISE_AND('IP Address (no mod)'!$D$21,DS$19)*64)+DO$63*10+DQ65,"0")))</f>
        <v>10.0.43.85</v>
      </c>
      <c r="DU65" s="100">
        <f t="shared" si="44"/>
        <v>0</v>
      </c>
      <c r="DV65" s="98"/>
      <c r="DW65" s="55"/>
      <c r="DX65" s="330"/>
      <c r="DY65" s="63" t="s">
        <v>243</v>
      </c>
      <c r="DZ65" s="63">
        <v>1</v>
      </c>
      <c r="EA65" s="63">
        <v>5</v>
      </c>
      <c r="EB65" s="64" t="s">
        <v>308</v>
      </c>
      <c r="EC65" s="4" t="str">
        <f>IF(EA65=99,"",CONCATENATE("10.0.",TEXT(((BITWISE_AND('IP Address (no mod)'!$D$20,EB$19)/4)+EA65*8),"0"),".",TEXT((BITWISE_AND('IP Address (no mod)'!$D$21,EB$19)*64)+DX$63*10+DZ65,"0")))</f>
        <v>10.0.43.149</v>
      </c>
      <c r="ED65" s="100">
        <f t="shared" si="45"/>
        <v>0</v>
      </c>
      <c r="EE65" s="106"/>
      <c r="EF65" s="55"/>
      <c r="EG65" s="330"/>
      <c r="EH65" s="63" t="s">
        <v>243</v>
      </c>
      <c r="EI65" s="63">
        <v>1</v>
      </c>
      <c r="EJ65" s="63">
        <v>5</v>
      </c>
      <c r="EK65" s="64" t="s">
        <v>308</v>
      </c>
      <c r="EL65" s="4" t="str">
        <f>IF(EJ65=99,"",CONCATENATE("10.0.",TEXT(((BITWISE_AND('IP Address (no mod)'!$D$20,EK$19)/4)+EJ65*8),"0"),".",TEXT((BITWISE_AND('IP Address (no mod)'!$D$21,EK$19)*64)+EG$63*10+EI65,"0")))</f>
        <v>10.0.43.213</v>
      </c>
      <c r="EM65" s="100">
        <f t="shared" si="46"/>
        <v>0</v>
      </c>
      <c r="EN65" s="107"/>
    </row>
    <row r="66" spans="1:144">
      <c r="A66" s="322"/>
      <c r="B66" s="102"/>
      <c r="C66" s="55"/>
      <c r="D66" s="330"/>
      <c r="E66" s="63" t="s">
        <v>245</v>
      </c>
      <c r="F66" s="63">
        <v>2</v>
      </c>
      <c r="G66" s="63">
        <v>5</v>
      </c>
      <c r="H66" s="64" t="s">
        <v>310</v>
      </c>
      <c r="I66" s="73" t="str">
        <f>IF(G66=99,"",CONCATENATE("10.0.",TEXT(((BITWISE_AND('IP Address (no mod)'!$D$20,H$59)/4)+G66*8),"0"),".",TEXT((BITWISE_AND('IP Address (no mod)'!$D$21,H$59)*64)+D$63*10+F66,"0")))</f>
        <v>10.0.40.86</v>
      </c>
      <c r="J66" s="178">
        <f t="shared" si="32"/>
        <v>0</v>
      </c>
      <c r="K66" s="107"/>
      <c r="L66" s="55"/>
      <c r="M66" s="330"/>
      <c r="N66" s="63" t="s">
        <v>245</v>
      </c>
      <c r="O66" s="63">
        <v>2</v>
      </c>
      <c r="P66" s="63">
        <v>7</v>
      </c>
      <c r="Q66" s="64" t="s">
        <v>311</v>
      </c>
      <c r="R66" s="4" t="str">
        <f>IF(P66=99,"",CONCATENATE("10.0.",TEXT(((BITWISE_AND('IP Address (no mod)'!$D$20,Q$19)/4)+P66*8),"0"),".",TEXT((BITWISE_AND('IP Address (no mod)'!$D$21,Q$19)*64)+M$63*10+O66,"0")))</f>
        <v>10.0.56.150</v>
      </c>
      <c r="S66" s="100">
        <f t="shared" si="33"/>
        <v>0</v>
      </c>
      <c r="T66" s="106"/>
      <c r="U66" s="55"/>
      <c r="V66" s="330"/>
      <c r="W66" s="63" t="s">
        <v>245</v>
      </c>
      <c r="X66" s="63">
        <v>2</v>
      </c>
      <c r="Y66" s="63">
        <v>5</v>
      </c>
      <c r="Z66" s="64" t="s">
        <v>308</v>
      </c>
      <c r="AA66" s="4" t="str">
        <f>IF(Y66=99,"",CONCATENATE("10.0.",TEXT(((BITWISE_AND('IP Address (no mod)'!$D$20,Z$19)/4)+Y66*8),"0"),".",TEXT((BITWISE_AND('IP Address (no mod)'!$D$21,Z$19)*64)+V$63*10+X66,"0")))</f>
        <v>10.0.40.214</v>
      </c>
      <c r="AB66" s="100">
        <f t="shared" si="34"/>
        <v>0</v>
      </c>
      <c r="AC66" s="106"/>
      <c r="AD66" s="55"/>
      <c r="AE66" s="330"/>
      <c r="AF66" s="63" t="s">
        <v>245</v>
      </c>
      <c r="AG66" s="63">
        <v>2</v>
      </c>
      <c r="AH66" s="63">
        <v>5</v>
      </c>
      <c r="AI66" s="64" t="s">
        <v>310</v>
      </c>
      <c r="AJ66" s="4" t="str">
        <f>IF(AH66=99,"",CONCATENATE("10.0.",TEXT(((BITWISE_AND('IP Address (no mod)'!$D$20,AI$19)/4)+AH66*8),"0"),".",TEXT((BITWISE_AND('IP Address (no mod)'!$D$21,AI$19)*64)+AE$63*10+AG66,"0")))</f>
        <v>10.0.45.150</v>
      </c>
      <c r="AK66" s="100">
        <f t="shared" si="35"/>
        <v>0</v>
      </c>
      <c r="AL66" s="66"/>
      <c r="AM66" s="66"/>
      <c r="AN66" s="66"/>
      <c r="AO66" s="66"/>
      <c r="AP66" s="66"/>
      <c r="AQ66" s="66"/>
      <c r="AR66" s="59"/>
      <c r="AS66" s="106"/>
      <c r="AT66" s="55"/>
      <c r="AU66" s="330"/>
      <c r="AV66" s="63" t="s">
        <v>245</v>
      </c>
      <c r="AW66" s="63">
        <v>2</v>
      </c>
      <c r="AX66" s="63">
        <v>5</v>
      </c>
      <c r="AY66" s="64" t="s">
        <v>308</v>
      </c>
      <c r="AZ66" s="4" t="str">
        <f>IF(AX66=99,"",CONCATENATE("10.0.",TEXT(((BITWISE_AND('IP Address (no mod)'!$D$20,AY$19)/4)+AX66*8),"0"),".",TEXT((BITWISE_AND('IP Address (no mod)'!$D$21,AY$19)*64)+AU$63*10+AW66,"0")))</f>
        <v>10.0.41.86</v>
      </c>
      <c r="BA66" s="100">
        <f t="shared" si="36"/>
        <v>0</v>
      </c>
      <c r="BB66" s="106"/>
      <c r="BC66" s="55"/>
      <c r="BD66" s="330"/>
      <c r="BE66" s="63" t="s">
        <v>245</v>
      </c>
      <c r="BF66" s="63">
        <v>2</v>
      </c>
      <c r="BG66" s="63">
        <v>7</v>
      </c>
      <c r="BH66" s="64" t="s">
        <v>311</v>
      </c>
      <c r="BI66" s="4" t="str">
        <f>IF(BG66=99,"",CONCATENATE("10.0.",TEXT(((BITWISE_AND('IP Address (no mod)'!$D$20,BH$19)/4)+BG66*8),"0"),".",TEXT((BITWISE_AND('IP Address (no mod)'!$D$21,BH$19)*64)+BD$63*10+BF66,"0")))</f>
        <v>10.0.57.150</v>
      </c>
      <c r="BJ66" s="100">
        <f t="shared" si="37"/>
        <v>0</v>
      </c>
      <c r="BK66" s="106"/>
      <c r="BL66" s="55"/>
      <c r="BM66" s="330"/>
      <c r="BN66" s="63" t="s">
        <v>245</v>
      </c>
      <c r="BO66" s="63">
        <v>2</v>
      </c>
      <c r="BP66" s="63">
        <v>5</v>
      </c>
      <c r="BQ66" s="64" t="s">
        <v>308</v>
      </c>
      <c r="BR66" s="4" t="str">
        <f>IF(BP66=99,"",CONCATENATE("10.0.",TEXT(((BITWISE_AND('IP Address (no mod)'!$D$20,BQ$19)/4)+BP66*8),"0"),".",TEXT((BITWISE_AND('IP Address (no mod)'!$D$21,BQ$19)*64)+BM$63*10+BO66,"0")))</f>
        <v>10.0.41.214</v>
      </c>
      <c r="BS66" s="100">
        <f t="shared" si="38"/>
        <v>0</v>
      </c>
      <c r="BT66" s="106"/>
      <c r="BU66" s="55"/>
      <c r="BV66" s="330"/>
      <c r="BW66" s="63" t="s">
        <v>245</v>
      </c>
      <c r="BX66" s="63">
        <v>2</v>
      </c>
      <c r="BY66" s="63">
        <v>7</v>
      </c>
      <c r="BZ66" s="64" t="s">
        <v>311</v>
      </c>
      <c r="CA66" s="4" t="str">
        <f>IF(BY66=99,"",CONCATENATE("10.0.",TEXT(((BITWISE_AND('IP Address (no mod)'!$D$20,BZ$19)/4)+BY66*8),"0"),".",TEXT((BITWISE_AND('IP Address (no mod)'!$D$21,BZ$19)*64)+BV$63*10+BX66,"0")))</f>
        <v>10.0.58.22</v>
      </c>
      <c r="CB66" s="100">
        <f t="shared" si="39"/>
        <v>0</v>
      </c>
      <c r="CC66" s="106"/>
      <c r="CD66" s="55"/>
      <c r="CE66" s="330"/>
      <c r="CF66" s="63" t="s">
        <v>245</v>
      </c>
      <c r="CG66" s="63">
        <v>2</v>
      </c>
      <c r="CH66" s="63">
        <v>5</v>
      </c>
      <c r="CI66" s="64" t="s">
        <v>308</v>
      </c>
      <c r="CJ66" s="4" t="str">
        <f>IF(CH66=99,"",CONCATENATE("10.0.",TEXT(((BITWISE_AND('IP Address (no mod)'!$D$20,CI$19)/4)+CH66*8),"0"),".",TEXT((BITWISE_AND('IP Address (no mod)'!$D$21,CI$19)*64)+CE$63*10+CG66,"0")))</f>
        <v>10.0.42.86</v>
      </c>
      <c r="CK66" s="100">
        <f t="shared" si="40"/>
        <v>0</v>
      </c>
      <c r="CL66" s="106"/>
      <c r="CM66" s="55"/>
      <c r="CN66" s="330"/>
      <c r="CO66" s="63" t="s">
        <v>245</v>
      </c>
      <c r="CP66" s="63">
        <v>2</v>
      </c>
      <c r="CQ66" s="63">
        <v>7</v>
      </c>
      <c r="CR66" s="64" t="s">
        <v>311</v>
      </c>
      <c r="CS66" s="4" t="str">
        <f>IF(CQ66=99,"",CONCATENATE("10.0.",TEXT(((BITWISE_AND('IP Address (no mod)'!$D$20,CR$19)/4)+CQ66*8),"0"),".",TEXT((BITWISE_AND('IP Address (no mod)'!$D$21,CR$19)*64)+CN$63*10+CP66,"0")))</f>
        <v>10.0.58.150</v>
      </c>
      <c r="CT66" s="100">
        <f t="shared" si="41"/>
        <v>0</v>
      </c>
      <c r="CU66" s="106"/>
      <c r="CV66" s="55"/>
      <c r="CW66" s="330"/>
      <c r="CX66" s="63" t="s">
        <v>245</v>
      </c>
      <c r="CY66" s="63">
        <v>2</v>
      </c>
      <c r="CZ66" s="63">
        <v>5</v>
      </c>
      <c r="DA66" s="64" t="s">
        <v>308</v>
      </c>
      <c r="DB66" s="4" t="str">
        <f>IF(CZ66=99,"",CONCATENATE("10.0.",TEXT(((BITWISE_AND('IP Address (no mod)'!$D$20,DA$19)/4)+CZ66*8),"0"),".",TEXT((BITWISE_AND('IP Address (no mod)'!$D$21,DA$19)*64)+CW$63*10+CY66,"0")))</f>
        <v>10.0.42.214</v>
      </c>
      <c r="DC66" s="100">
        <f t="shared" si="42"/>
        <v>0</v>
      </c>
      <c r="DD66" s="106"/>
      <c r="DE66" s="55"/>
      <c r="DF66" s="330"/>
      <c r="DG66" s="63" t="s">
        <v>245</v>
      </c>
      <c r="DH66" s="63">
        <v>2</v>
      </c>
      <c r="DI66" s="63">
        <v>7</v>
      </c>
      <c r="DJ66" s="64" t="s">
        <v>311</v>
      </c>
      <c r="DK66" s="4" t="str">
        <f>IF(DI66=99,"",CONCATENATE("10.0.",TEXT(((BITWISE_AND('IP Address (no mod)'!$D$20,DJ$19)/4)+DI66*8),"0"),".",TEXT((BITWISE_AND('IP Address (no mod)'!$D$21,DJ$19)*64)+DF$63*10+DH66,"0")))</f>
        <v>10.0.59.22</v>
      </c>
      <c r="DL66" s="100">
        <f t="shared" si="43"/>
        <v>0</v>
      </c>
      <c r="DM66" s="106"/>
      <c r="DN66" s="55"/>
      <c r="DO66" s="330"/>
      <c r="DP66" s="63" t="s">
        <v>245</v>
      </c>
      <c r="DQ66" s="63">
        <v>2</v>
      </c>
      <c r="DR66" s="63">
        <v>5</v>
      </c>
      <c r="DS66" s="64" t="s">
        <v>308</v>
      </c>
      <c r="DT66" s="4" t="str">
        <f>IF(DR66=99,"",CONCATENATE("10.0.",TEXT(((BITWISE_AND('IP Address (no mod)'!$D$20,DS$19)/4)+DR66*8),"0"),".",TEXT((BITWISE_AND('IP Address (no mod)'!$D$21,DS$19)*64)+DO$63*10+DQ66,"0")))</f>
        <v>10.0.43.86</v>
      </c>
      <c r="DU66" s="100">
        <f t="shared" si="44"/>
        <v>0</v>
      </c>
      <c r="DV66" s="98"/>
      <c r="DW66" s="55"/>
      <c r="DX66" s="330"/>
      <c r="DY66" s="63" t="s">
        <v>245</v>
      </c>
      <c r="DZ66" s="63">
        <v>2</v>
      </c>
      <c r="EA66" s="63">
        <v>7</v>
      </c>
      <c r="EB66" s="64" t="s">
        <v>311</v>
      </c>
      <c r="EC66" s="4" t="str">
        <f>IF(EA66=99,"",CONCATENATE("10.0.",TEXT(((BITWISE_AND('IP Address (no mod)'!$D$20,EB$19)/4)+EA66*8),"0"),".",TEXT((BITWISE_AND('IP Address (no mod)'!$D$21,EB$19)*64)+DX$63*10+DZ66,"0")))</f>
        <v>10.0.59.150</v>
      </c>
      <c r="ED66" s="100">
        <f t="shared" si="45"/>
        <v>0</v>
      </c>
      <c r="EE66" s="106"/>
      <c r="EF66" s="55"/>
      <c r="EG66" s="330"/>
      <c r="EH66" s="63" t="s">
        <v>245</v>
      </c>
      <c r="EI66" s="63">
        <v>2</v>
      </c>
      <c r="EJ66" s="63">
        <v>5</v>
      </c>
      <c r="EK66" s="64" t="s">
        <v>310</v>
      </c>
      <c r="EL66" s="4" t="str">
        <f>IF(EJ66=99,"",CONCATENATE("10.0.",TEXT(((BITWISE_AND('IP Address (no mod)'!$D$20,EK$19)/4)+EJ66*8),"0"),".",TEXT((BITWISE_AND('IP Address (no mod)'!$D$21,EK$19)*64)+EG$63*10+EI66,"0")))</f>
        <v>10.0.43.214</v>
      </c>
      <c r="EM66" s="100">
        <f t="shared" si="46"/>
        <v>0</v>
      </c>
      <c r="EN66" s="107"/>
    </row>
    <row r="67" spans="1:144">
      <c r="A67" s="322"/>
      <c r="B67" s="102"/>
      <c r="C67" s="55"/>
      <c r="D67" s="330"/>
      <c r="E67" s="63" t="s">
        <v>248</v>
      </c>
      <c r="F67" s="63">
        <v>3</v>
      </c>
      <c r="G67" s="63">
        <v>7</v>
      </c>
      <c r="H67" s="64" t="s">
        <v>312</v>
      </c>
      <c r="I67" s="73" t="str">
        <f>IF(G67=99,"",CONCATENATE("10.0.",TEXT(((BITWISE_AND('IP Address (no mod)'!$D$20,H$59)/4)+G67*8),"0"),".",TEXT((BITWISE_AND('IP Address (no mod)'!$D$21,H$59)*64)+D$63*10+F67,"0")))</f>
        <v>10.0.56.87</v>
      </c>
      <c r="J67" s="178">
        <f t="shared" si="32"/>
        <v>0</v>
      </c>
      <c r="K67" s="106"/>
      <c r="L67" s="55"/>
      <c r="M67" s="330"/>
      <c r="N67" s="63" t="s">
        <v>248</v>
      </c>
      <c r="O67" s="63">
        <v>3</v>
      </c>
      <c r="P67" s="63">
        <v>7</v>
      </c>
      <c r="Q67" s="64" t="s">
        <v>313</v>
      </c>
      <c r="R67" s="4" t="str">
        <f>IF(P67=99,"",CONCATENATE("10.0.",TEXT(((BITWISE_AND('IP Address (no mod)'!$D$20,Q$19)/4)+P67*8),"0"),".",TEXT((BITWISE_AND('IP Address (no mod)'!$D$21,Q$19)*64)+M$63*10+O67,"0")))</f>
        <v>10.0.56.151</v>
      </c>
      <c r="S67" s="100">
        <f t="shared" si="33"/>
        <v>0</v>
      </c>
      <c r="T67" s="106"/>
      <c r="U67" s="55"/>
      <c r="V67" s="330"/>
      <c r="W67" s="63" t="s">
        <v>248</v>
      </c>
      <c r="X67" s="63">
        <v>3</v>
      </c>
      <c r="Y67" s="63">
        <v>7</v>
      </c>
      <c r="Z67" s="64" t="s">
        <v>311</v>
      </c>
      <c r="AA67" s="4" t="str">
        <f>IF(Y67=99,"",CONCATENATE("10.0.",TEXT(((BITWISE_AND('IP Address (no mod)'!$D$20,Z$19)/4)+Y67*8),"0"),".",TEXT((BITWISE_AND('IP Address (no mod)'!$D$21,Z$19)*64)+V$63*10+X67,"0")))</f>
        <v>10.0.56.215</v>
      </c>
      <c r="AB67" s="100">
        <f t="shared" si="34"/>
        <v>0</v>
      </c>
      <c r="AC67" s="106"/>
      <c r="AD67" s="55"/>
      <c r="AE67" s="330"/>
      <c r="AF67" s="63" t="s">
        <v>248</v>
      </c>
      <c r="AG67" s="63">
        <v>3</v>
      </c>
      <c r="AH67" s="63">
        <v>7</v>
      </c>
      <c r="AI67" s="64" t="s">
        <v>311</v>
      </c>
      <c r="AJ67" s="4" t="str">
        <f>IF(AH67=99,"",CONCATENATE("10.0.",TEXT(((BITWISE_AND('IP Address (no mod)'!$D$20,AI$19)/4)+AH67*8),"0"),".",TEXT((BITWISE_AND('IP Address (no mod)'!$D$21,AI$19)*64)+AE$63*10+AG67,"0")))</f>
        <v>10.0.61.151</v>
      </c>
      <c r="AK67" s="100">
        <f t="shared" si="35"/>
        <v>0</v>
      </c>
      <c r="AL67" s="66"/>
      <c r="AM67" s="66"/>
      <c r="AN67" s="66"/>
      <c r="AO67" s="66"/>
      <c r="AP67" s="66"/>
      <c r="AQ67" s="66"/>
      <c r="AR67" s="59"/>
      <c r="AS67" s="106"/>
      <c r="AT67" s="55"/>
      <c r="AU67" s="330"/>
      <c r="AV67" s="63" t="s">
        <v>248</v>
      </c>
      <c r="AW67" s="63">
        <v>3</v>
      </c>
      <c r="AX67" s="63">
        <v>7</v>
      </c>
      <c r="AY67" s="64" t="s">
        <v>311</v>
      </c>
      <c r="AZ67" s="4" t="str">
        <f>IF(AX67=99,"",CONCATENATE("10.0.",TEXT(((BITWISE_AND('IP Address (no mod)'!$D$20,AY$19)/4)+AX67*8),"0"),".",TEXT((BITWISE_AND('IP Address (no mod)'!$D$21,AY$19)*64)+AU$63*10+AW67,"0")))</f>
        <v>10.0.57.87</v>
      </c>
      <c r="BA67" s="100">
        <f t="shared" si="36"/>
        <v>0</v>
      </c>
      <c r="BB67" s="106"/>
      <c r="BC67" s="55"/>
      <c r="BD67" s="330"/>
      <c r="BE67" s="63" t="s">
        <v>248</v>
      </c>
      <c r="BF67" s="63">
        <v>3</v>
      </c>
      <c r="BG67" s="63">
        <v>7</v>
      </c>
      <c r="BH67" s="64" t="s">
        <v>313</v>
      </c>
      <c r="BI67" s="4" t="str">
        <f>IF(BG67=99,"",CONCATENATE("10.0.",TEXT(((BITWISE_AND('IP Address (no mod)'!$D$20,BH$19)/4)+BG67*8),"0"),".",TEXT((BITWISE_AND('IP Address (no mod)'!$D$21,BH$19)*64)+BD$63*10+BF67,"0")))</f>
        <v>10.0.57.151</v>
      </c>
      <c r="BJ67" s="100">
        <f t="shared" si="37"/>
        <v>0</v>
      </c>
      <c r="BK67" s="106"/>
      <c r="BL67" s="55"/>
      <c r="BM67" s="330"/>
      <c r="BN67" s="63" t="s">
        <v>248</v>
      </c>
      <c r="BO67" s="63">
        <v>3</v>
      </c>
      <c r="BP67" s="63">
        <v>7</v>
      </c>
      <c r="BQ67" s="64" t="s">
        <v>311</v>
      </c>
      <c r="BR67" s="4" t="str">
        <f>IF(BP67=99,"",CONCATENATE("10.0.",TEXT(((BITWISE_AND('IP Address (no mod)'!$D$20,BQ$19)/4)+BP67*8),"0"),".",TEXT((BITWISE_AND('IP Address (no mod)'!$D$21,BQ$19)*64)+BM$63*10+BO67,"0")))</f>
        <v>10.0.57.215</v>
      </c>
      <c r="BS67" s="100">
        <f t="shared" si="38"/>
        <v>0</v>
      </c>
      <c r="BT67" s="106"/>
      <c r="BU67" s="55"/>
      <c r="BV67" s="330"/>
      <c r="BW67" s="63" t="s">
        <v>248</v>
      </c>
      <c r="BX67" s="63">
        <v>3</v>
      </c>
      <c r="BY67" s="63">
        <v>7</v>
      </c>
      <c r="BZ67" s="64" t="s">
        <v>313</v>
      </c>
      <c r="CA67" s="4" t="str">
        <f>IF(BY67=99,"",CONCATENATE("10.0.",TEXT(((BITWISE_AND('IP Address (no mod)'!$D$20,BZ$19)/4)+BY67*8),"0"),".",TEXT((BITWISE_AND('IP Address (no mod)'!$D$21,BZ$19)*64)+BV$63*10+BX67,"0")))</f>
        <v>10.0.58.23</v>
      </c>
      <c r="CB67" s="100">
        <f t="shared" si="39"/>
        <v>0</v>
      </c>
      <c r="CC67" s="106"/>
      <c r="CD67" s="55"/>
      <c r="CE67" s="330"/>
      <c r="CF67" s="63" t="s">
        <v>248</v>
      </c>
      <c r="CG67" s="63">
        <v>3</v>
      </c>
      <c r="CH67" s="63">
        <v>7</v>
      </c>
      <c r="CI67" s="64" t="s">
        <v>311</v>
      </c>
      <c r="CJ67" s="4" t="str">
        <f>IF(CH67=99,"",CONCATENATE("10.0.",TEXT(((BITWISE_AND('IP Address (no mod)'!$D$20,CI$19)/4)+CH67*8),"0"),".",TEXT((BITWISE_AND('IP Address (no mod)'!$D$21,CI$19)*64)+CE$63*10+CG67,"0")))</f>
        <v>10.0.58.87</v>
      </c>
      <c r="CK67" s="100">
        <f t="shared" si="40"/>
        <v>0</v>
      </c>
      <c r="CL67" s="106"/>
      <c r="CM67" s="55"/>
      <c r="CN67" s="330"/>
      <c r="CO67" s="63" t="s">
        <v>248</v>
      </c>
      <c r="CP67" s="63">
        <v>3</v>
      </c>
      <c r="CQ67" s="63">
        <v>7</v>
      </c>
      <c r="CR67" s="64" t="s">
        <v>313</v>
      </c>
      <c r="CS67" s="4" t="str">
        <f>IF(CQ67=99,"",CONCATENATE("10.0.",TEXT(((BITWISE_AND('IP Address (no mod)'!$D$20,CR$19)/4)+CQ67*8),"0"),".",TEXT((BITWISE_AND('IP Address (no mod)'!$D$21,CR$19)*64)+CN$63*10+CP67,"0")))</f>
        <v>10.0.58.151</v>
      </c>
      <c r="CT67" s="100">
        <f t="shared" si="41"/>
        <v>0</v>
      </c>
      <c r="CU67" s="106"/>
      <c r="CV67" s="55"/>
      <c r="CW67" s="330"/>
      <c r="CX67" s="63" t="s">
        <v>248</v>
      </c>
      <c r="CY67" s="63">
        <v>3</v>
      </c>
      <c r="CZ67" s="63">
        <v>7</v>
      </c>
      <c r="DA67" s="64" t="s">
        <v>311</v>
      </c>
      <c r="DB67" s="4" t="str">
        <f>IF(CZ67=99,"",CONCATENATE("10.0.",TEXT(((BITWISE_AND('IP Address (no mod)'!$D$20,DA$19)/4)+CZ67*8),"0"),".",TEXT((BITWISE_AND('IP Address (no mod)'!$D$21,DA$19)*64)+CW$63*10+CY67,"0")))</f>
        <v>10.0.58.215</v>
      </c>
      <c r="DC67" s="100">
        <f t="shared" si="42"/>
        <v>0</v>
      </c>
      <c r="DD67" s="106"/>
      <c r="DE67" s="55"/>
      <c r="DF67" s="330"/>
      <c r="DG67" s="63" t="s">
        <v>248</v>
      </c>
      <c r="DH67" s="63">
        <v>3</v>
      </c>
      <c r="DI67" s="63">
        <v>7</v>
      </c>
      <c r="DJ67" s="64" t="s">
        <v>313</v>
      </c>
      <c r="DK67" s="4" t="str">
        <f>IF(DI67=99,"",CONCATENATE("10.0.",TEXT(((BITWISE_AND('IP Address (no mod)'!$D$20,DJ$19)/4)+DI67*8),"0"),".",TEXT((BITWISE_AND('IP Address (no mod)'!$D$21,DJ$19)*64)+DF$63*10+DH67,"0")))</f>
        <v>10.0.59.23</v>
      </c>
      <c r="DL67" s="100">
        <f t="shared" si="43"/>
        <v>0</v>
      </c>
      <c r="DM67" s="106"/>
      <c r="DN67" s="55"/>
      <c r="DO67" s="330"/>
      <c r="DP67" s="63" t="s">
        <v>248</v>
      </c>
      <c r="DQ67" s="63">
        <v>3</v>
      </c>
      <c r="DR67" s="63">
        <v>7</v>
      </c>
      <c r="DS67" s="64" t="s">
        <v>311</v>
      </c>
      <c r="DT67" s="4" t="str">
        <f>IF(DR67=99,"",CONCATENATE("10.0.",TEXT(((BITWISE_AND('IP Address (no mod)'!$D$20,DS$19)/4)+DR67*8),"0"),".",TEXT((BITWISE_AND('IP Address (no mod)'!$D$21,DS$19)*64)+DO$63*10+DQ67,"0")))</f>
        <v>10.0.59.87</v>
      </c>
      <c r="DU67" s="100">
        <f t="shared" si="44"/>
        <v>0</v>
      </c>
      <c r="DV67" s="98"/>
      <c r="DW67" s="55"/>
      <c r="DX67" s="330"/>
      <c r="DY67" s="63" t="s">
        <v>248</v>
      </c>
      <c r="DZ67" s="63">
        <v>3</v>
      </c>
      <c r="EA67" s="63">
        <v>7</v>
      </c>
      <c r="EB67" s="64" t="s">
        <v>313</v>
      </c>
      <c r="EC67" s="4" t="str">
        <f>IF(EA67=99,"",CONCATENATE("10.0.",TEXT(((BITWISE_AND('IP Address (no mod)'!$D$20,EB$19)/4)+EA67*8),"0"),".",TEXT((BITWISE_AND('IP Address (no mod)'!$D$21,EB$19)*64)+DX$63*10+DZ67,"0")))</f>
        <v>10.0.59.151</v>
      </c>
      <c r="ED67" s="100">
        <f t="shared" si="45"/>
        <v>0</v>
      </c>
      <c r="EE67" s="106"/>
      <c r="EF67" s="55"/>
      <c r="EG67" s="330"/>
      <c r="EH67" s="63" t="s">
        <v>248</v>
      </c>
      <c r="EI67" s="63">
        <v>3</v>
      </c>
      <c r="EJ67" s="63">
        <v>7</v>
      </c>
      <c r="EK67" s="64" t="s">
        <v>312</v>
      </c>
      <c r="EL67" s="4" t="str">
        <f>IF(EJ67=99,"",CONCATENATE("10.0.",TEXT(((BITWISE_AND('IP Address (no mod)'!$D$20,EK$19)/4)+EJ67*8),"0"),".",TEXT((BITWISE_AND('IP Address (no mod)'!$D$21,EK$19)*64)+EG$63*10+EI67,"0")))</f>
        <v>10.0.59.215</v>
      </c>
      <c r="EM67" s="100">
        <f t="shared" si="46"/>
        <v>0</v>
      </c>
      <c r="EN67" s="107"/>
    </row>
    <row r="68" spans="1:144">
      <c r="A68" s="322"/>
      <c r="B68" s="102"/>
      <c r="C68" s="55"/>
      <c r="D68" s="330"/>
      <c r="E68" s="63" t="s">
        <v>251</v>
      </c>
      <c r="F68" s="63">
        <v>4</v>
      </c>
      <c r="G68" s="63">
        <v>7</v>
      </c>
      <c r="H68" s="64" t="s">
        <v>314</v>
      </c>
      <c r="I68" s="73" t="str">
        <f>IF(G68=99,"",CONCATENATE("10.0.",TEXT(((BITWISE_AND('IP Address (no mod)'!$D$20,H$59)/4)+G68*8),"0"),".",TEXT((BITWISE_AND('IP Address (no mod)'!$D$21,H$59)*64)+D$63*10+F68,"0")))</f>
        <v>10.0.56.88</v>
      </c>
      <c r="J68" s="178">
        <f t="shared" si="32"/>
        <v>0</v>
      </c>
      <c r="K68" s="106"/>
      <c r="L68" s="55"/>
      <c r="M68" s="330"/>
      <c r="N68" s="63" t="s">
        <v>251</v>
      </c>
      <c r="O68" s="63">
        <v>4</v>
      </c>
      <c r="P68" s="63">
        <v>7</v>
      </c>
      <c r="Q68" s="64" t="s">
        <v>315</v>
      </c>
      <c r="R68" s="4" t="str">
        <f>IF(P68=99,"",CONCATENATE("10.0.",TEXT(((BITWISE_AND('IP Address (no mod)'!$D$20,Q$19)/4)+P68*8),"0"),".",TEXT((BITWISE_AND('IP Address (no mod)'!$D$21,Q$19)*64)+M$63*10+O68,"0")))</f>
        <v>10.0.56.152</v>
      </c>
      <c r="S68" s="100">
        <f t="shared" si="33"/>
        <v>0</v>
      </c>
      <c r="T68" s="106"/>
      <c r="U68" s="55"/>
      <c r="V68" s="330"/>
      <c r="W68" s="63" t="s">
        <v>251</v>
      </c>
      <c r="X68" s="63">
        <v>4</v>
      </c>
      <c r="Y68" s="63">
        <v>7</v>
      </c>
      <c r="Z68" s="64" t="s">
        <v>313</v>
      </c>
      <c r="AA68" s="4" t="str">
        <f>IF(Y68=99,"",CONCATENATE("10.0.",TEXT(((BITWISE_AND('IP Address (no mod)'!$D$20,Z$19)/4)+Y68*8),"0"),".",TEXT((BITWISE_AND('IP Address (no mod)'!$D$21,Z$19)*64)+V$63*10+X68,"0")))</f>
        <v>10.0.56.216</v>
      </c>
      <c r="AB68" s="100">
        <f t="shared" si="34"/>
        <v>0</v>
      </c>
      <c r="AC68" s="106"/>
      <c r="AD68" s="55"/>
      <c r="AE68" s="330"/>
      <c r="AF68" s="63" t="s">
        <v>251</v>
      </c>
      <c r="AG68" s="63">
        <v>4</v>
      </c>
      <c r="AH68" s="63">
        <v>7</v>
      </c>
      <c r="AI68" s="64" t="s">
        <v>313</v>
      </c>
      <c r="AJ68" s="4" t="str">
        <f>IF(AH68=99,"",CONCATENATE("10.0.",TEXT(((BITWISE_AND('IP Address (no mod)'!$D$20,AI$19)/4)+AH68*8),"0"),".",TEXT((BITWISE_AND('IP Address (no mod)'!$D$21,AI$19)*64)+AE$63*10+AG68,"0")))</f>
        <v>10.0.61.152</v>
      </c>
      <c r="AK68" s="100">
        <f t="shared" si="35"/>
        <v>0</v>
      </c>
      <c r="AL68" s="66"/>
      <c r="AM68" s="66"/>
      <c r="AN68" s="66"/>
      <c r="AO68" s="66"/>
      <c r="AP68" s="66"/>
      <c r="AQ68" s="66"/>
      <c r="AR68" s="59"/>
      <c r="AS68" s="106"/>
      <c r="AT68" s="55"/>
      <c r="AU68" s="330"/>
      <c r="AV68" s="63" t="s">
        <v>251</v>
      </c>
      <c r="AW68" s="63">
        <v>4</v>
      </c>
      <c r="AX68" s="63">
        <v>7</v>
      </c>
      <c r="AY68" s="64" t="s">
        <v>313</v>
      </c>
      <c r="AZ68" s="4" t="str">
        <f>IF(AX68=99,"",CONCATENATE("10.0.",TEXT(((BITWISE_AND('IP Address (no mod)'!$D$20,AY$19)/4)+AX68*8),"0"),".",TEXT((BITWISE_AND('IP Address (no mod)'!$D$21,AY$19)*64)+AU$63*10+AW68,"0")))</f>
        <v>10.0.57.88</v>
      </c>
      <c r="BA68" s="100">
        <f t="shared" si="36"/>
        <v>0</v>
      </c>
      <c r="BB68" s="106"/>
      <c r="BC68" s="55"/>
      <c r="BD68" s="330"/>
      <c r="BE68" s="63" t="s">
        <v>251</v>
      </c>
      <c r="BF68" s="63">
        <v>4</v>
      </c>
      <c r="BG68" s="63">
        <v>7</v>
      </c>
      <c r="BH68" s="64" t="s">
        <v>315</v>
      </c>
      <c r="BI68" s="4" t="str">
        <f>IF(BG68=99,"",CONCATENATE("10.0.",TEXT(((BITWISE_AND('IP Address (no mod)'!$D$20,BH$19)/4)+BG68*8),"0"),".",TEXT((BITWISE_AND('IP Address (no mod)'!$D$21,BH$19)*64)+BD$63*10+BF68,"0")))</f>
        <v>10.0.57.152</v>
      </c>
      <c r="BJ68" s="100">
        <f t="shared" si="37"/>
        <v>0</v>
      </c>
      <c r="BK68" s="106"/>
      <c r="BL68" s="55"/>
      <c r="BM68" s="330"/>
      <c r="BN68" s="63" t="s">
        <v>251</v>
      </c>
      <c r="BO68" s="63">
        <v>4</v>
      </c>
      <c r="BP68" s="63">
        <v>7</v>
      </c>
      <c r="BQ68" s="64" t="s">
        <v>313</v>
      </c>
      <c r="BR68" s="4" t="str">
        <f>IF(BP68=99,"",CONCATENATE("10.0.",TEXT(((BITWISE_AND('IP Address (no mod)'!$D$20,BQ$19)/4)+BP68*8),"0"),".",TEXT((BITWISE_AND('IP Address (no mod)'!$D$21,BQ$19)*64)+BM$63*10+BO68,"0")))</f>
        <v>10.0.57.216</v>
      </c>
      <c r="BS68" s="100">
        <f t="shared" si="38"/>
        <v>0</v>
      </c>
      <c r="BT68" s="106"/>
      <c r="BU68" s="55"/>
      <c r="BV68" s="330"/>
      <c r="BW68" s="63" t="s">
        <v>251</v>
      </c>
      <c r="BX68" s="63">
        <v>4</v>
      </c>
      <c r="BY68" s="63">
        <v>7</v>
      </c>
      <c r="BZ68" s="64" t="s">
        <v>315</v>
      </c>
      <c r="CA68" s="4" t="str">
        <f>IF(BY68=99,"",CONCATENATE("10.0.",TEXT(((BITWISE_AND('IP Address (no mod)'!$D$20,BZ$19)/4)+BY68*8),"0"),".",TEXT((BITWISE_AND('IP Address (no mod)'!$D$21,BZ$19)*64)+BV$63*10+BX68,"0")))</f>
        <v>10.0.58.24</v>
      </c>
      <c r="CB68" s="100">
        <f t="shared" si="39"/>
        <v>0</v>
      </c>
      <c r="CC68" s="106"/>
      <c r="CD68" s="55"/>
      <c r="CE68" s="330"/>
      <c r="CF68" s="63" t="s">
        <v>251</v>
      </c>
      <c r="CG68" s="63">
        <v>4</v>
      </c>
      <c r="CH68" s="63">
        <v>7</v>
      </c>
      <c r="CI68" s="64" t="s">
        <v>313</v>
      </c>
      <c r="CJ68" s="4" t="str">
        <f>IF(CH68=99,"",CONCATENATE("10.0.",TEXT(((BITWISE_AND('IP Address (no mod)'!$D$20,CI$19)/4)+CH68*8),"0"),".",TEXT((BITWISE_AND('IP Address (no mod)'!$D$21,CI$19)*64)+CE$63*10+CG68,"0")))</f>
        <v>10.0.58.88</v>
      </c>
      <c r="CK68" s="100">
        <f t="shared" si="40"/>
        <v>0</v>
      </c>
      <c r="CL68" s="106"/>
      <c r="CM68" s="55"/>
      <c r="CN68" s="330"/>
      <c r="CO68" s="63" t="s">
        <v>251</v>
      </c>
      <c r="CP68" s="63">
        <v>4</v>
      </c>
      <c r="CQ68" s="63">
        <v>7</v>
      </c>
      <c r="CR68" s="64" t="s">
        <v>315</v>
      </c>
      <c r="CS68" s="4" t="str">
        <f>IF(CQ68=99,"",CONCATENATE("10.0.",TEXT(((BITWISE_AND('IP Address (no mod)'!$D$20,CR$19)/4)+CQ68*8),"0"),".",TEXT((BITWISE_AND('IP Address (no mod)'!$D$21,CR$19)*64)+CN$63*10+CP68,"0")))</f>
        <v>10.0.58.152</v>
      </c>
      <c r="CT68" s="100">
        <f t="shared" si="41"/>
        <v>0</v>
      </c>
      <c r="CU68" s="106"/>
      <c r="CV68" s="55"/>
      <c r="CW68" s="330"/>
      <c r="CX68" s="63" t="s">
        <v>251</v>
      </c>
      <c r="CY68" s="63">
        <v>4</v>
      </c>
      <c r="CZ68" s="63">
        <v>7</v>
      </c>
      <c r="DA68" s="64" t="s">
        <v>313</v>
      </c>
      <c r="DB68" s="4" t="str">
        <f>IF(CZ68=99,"",CONCATENATE("10.0.",TEXT(((BITWISE_AND('IP Address (no mod)'!$D$20,DA$19)/4)+CZ68*8),"0"),".",TEXT((BITWISE_AND('IP Address (no mod)'!$D$21,DA$19)*64)+CW$63*10+CY68,"0")))</f>
        <v>10.0.58.216</v>
      </c>
      <c r="DC68" s="100">
        <f t="shared" si="42"/>
        <v>0</v>
      </c>
      <c r="DD68" s="106"/>
      <c r="DE68" s="55"/>
      <c r="DF68" s="330"/>
      <c r="DG68" s="63" t="s">
        <v>251</v>
      </c>
      <c r="DH68" s="63">
        <v>4</v>
      </c>
      <c r="DI68" s="63">
        <v>7</v>
      </c>
      <c r="DJ68" s="64" t="s">
        <v>315</v>
      </c>
      <c r="DK68" s="4" t="str">
        <f>IF(DI68=99,"",CONCATENATE("10.0.",TEXT(((BITWISE_AND('IP Address (no mod)'!$D$20,DJ$19)/4)+DI68*8),"0"),".",TEXT((BITWISE_AND('IP Address (no mod)'!$D$21,DJ$19)*64)+DF$63*10+DH68,"0")))</f>
        <v>10.0.59.24</v>
      </c>
      <c r="DL68" s="100">
        <f t="shared" si="43"/>
        <v>0</v>
      </c>
      <c r="DM68" s="106"/>
      <c r="DN68" s="55"/>
      <c r="DO68" s="330"/>
      <c r="DP68" s="63" t="s">
        <v>251</v>
      </c>
      <c r="DQ68" s="63">
        <v>4</v>
      </c>
      <c r="DR68" s="63">
        <v>7</v>
      </c>
      <c r="DS68" s="64" t="s">
        <v>313</v>
      </c>
      <c r="DT68" s="4" t="str">
        <f>IF(DR68=99,"",CONCATENATE("10.0.",TEXT(((BITWISE_AND('IP Address (no mod)'!$D$20,DS$19)/4)+DR68*8),"0"),".",TEXT((BITWISE_AND('IP Address (no mod)'!$D$21,DS$19)*64)+DO$63*10+DQ68,"0")))</f>
        <v>10.0.59.88</v>
      </c>
      <c r="DU68" s="100">
        <f t="shared" si="44"/>
        <v>0</v>
      </c>
      <c r="DV68" s="98"/>
      <c r="DW68" s="55"/>
      <c r="DX68" s="330"/>
      <c r="DY68" s="63" t="s">
        <v>251</v>
      </c>
      <c r="DZ68" s="63">
        <v>4</v>
      </c>
      <c r="EA68" s="63">
        <v>7</v>
      </c>
      <c r="EB68" s="64" t="s">
        <v>315</v>
      </c>
      <c r="EC68" s="4" t="str">
        <f>IF(EA68=99,"",CONCATENATE("10.0.",TEXT(((BITWISE_AND('IP Address (no mod)'!$D$20,EB$19)/4)+EA68*8),"0"),".",TEXT((BITWISE_AND('IP Address (no mod)'!$D$21,EB$19)*64)+DX$63*10+DZ68,"0")))</f>
        <v>10.0.59.152</v>
      </c>
      <c r="ED68" s="100">
        <f t="shared" si="45"/>
        <v>0</v>
      </c>
      <c r="EE68" s="106"/>
      <c r="EF68" s="55"/>
      <c r="EG68" s="330"/>
      <c r="EH68" s="63" t="s">
        <v>251</v>
      </c>
      <c r="EI68" s="63">
        <v>4</v>
      </c>
      <c r="EJ68" s="63">
        <v>7</v>
      </c>
      <c r="EK68" s="64" t="s">
        <v>314</v>
      </c>
      <c r="EL68" s="4" t="str">
        <f>IF(EJ68=99,"",CONCATENATE("10.0.",TEXT(((BITWISE_AND('IP Address (no mod)'!$D$20,EK$19)/4)+EJ68*8),"0"),".",TEXT((BITWISE_AND('IP Address (no mod)'!$D$21,EK$19)*64)+EG$63*10+EI68,"0")))</f>
        <v>10.0.59.216</v>
      </c>
      <c r="EM68" s="100">
        <f t="shared" si="46"/>
        <v>0</v>
      </c>
      <c r="EN68" s="107"/>
    </row>
    <row r="69" spans="1:144">
      <c r="A69" s="322"/>
      <c r="B69" s="102"/>
      <c r="C69" s="55"/>
      <c r="D69" s="330"/>
      <c r="E69" s="63" t="s">
        <v>254</v>
      </c>
      <c r="F69" s="63">
        <v>5</v>
      </c>
      <c r="G69" s="63">
        <v>7</v>
      </c>
      <c r="H69" s="64" t="s">
        <v>316</v>
      </c>
      <c r="I69" s="73" t="str">
        <f>IF(G69=99,"",CONCATENATE("10.0.",TEXT(((BITWISE_AND('IP Address (no mod)'!$D$20,H$59)/4)+G69*8),"0"),".",TEXT((BITWISE_AND('IP Address (no mod)'!$D$21,H$59)*64)+D$63*10+F69,"0")))</f>
        <v>10.0.56.89</v>
      </c>
      <c r="J69" s="178">
        <f t="shared" si="32"/>
        <v>0</v>
      </c>
      <c r="K69" s="106"/>
      <c r="L69" s="55"/>
      <c r="M69" s="330"/>
      <c r="N69" s="63" t="s">
        <v>254</v>
      </c>
      <c r="O69" s="63">
        <v>5</v>
      </c>
      <c r="P69" s="63">
        <v>7</v>
      </c>
      <c r="Q69" s="64" t="s">
        <v>93</v>
      </c>
      <c r="R69" s="4" t="str">
        <f>IF(P69=99,"",CONCATENATE("10.0.",TEXT(((BITWISE_AND('IP Address (no mod)'!$D$20,Q$19)/4)+P69*8),"0"),".",TEXT((BITWISE_AND('IP Address (no mod)'!$D$21,Q$19)*64)+M$63*10+O69,"0")))</f>
        <v>10.0.56.153</v>
      </c>
      <c r="S69" s="100">
        <f t="shared" si="33"/>
        <v>0</v>
      </c>
      <c r="T69" s="106"/>
      <c r="U69" s="55"/>
      <c r="V69" s="330"/>
      <c r="W69" s="63" t="s">
        <v>254</v>
      </c>
      <c r="X69" s="63">
        <v>5</v>
      </c>
      <c r="Y69" s="63">
        <v>7</v>
      </c>
      <c r="Z69" s="64" t="s">
        <v>317</v>
      </c>
      <c r="AA69" s="4" t="str">
        <f>IF(Y69=99,"",CONCATENATE("10.0.",TEXT(((BITWISE_AND('IP Address (no mod)'!$D$20,Z$19)/4)+Y69*8),"0"),".",TEXT((BITWISE_AND('IP Address (no mod)'!$D$21,Z$19)*64)+V$63*10+X69,"0")))</f>
        <v>10.0.56.217</v>
      </c>
      <c r="AB69" s="100">
        <f t="shared" si="34"/>
        <v>0</v>
      </c>
      <c r="AC69" s="106"/>
      <c r="AD69" s="55"/>
      <c r="AE69" s="330"/>
      <c r="AF69" s="63" t="s">
        <v>254</v>
      </c>
      <c r="AG69" s="63">
        <v>5</v>
      </c>
      <c r="AH69" s="63">
        <v>7</v>
      </c>
      <c r="AI69" s="64" t="s">
        <v>315</v>
      </c>
      <c r="AJ69" s="4" t="str">
        <f>IF(AH69=99,"",CONCATENATE("10.0.",TEXT(((BITWISE_AND('IP Address (no mod)'!$D$20,AI$19)/4)+AH69*8),"0"),".",TEXT((BITWISE_AND('IP Address (no mod)'!$D$21,AI$19)*64)+AE$63*10+AG69,"0")))</f>
        <v>10.0.61.153</v>
      </c>
      <c r="AK69" s="100">
        <f t="shared" si="35"/>
        <v>0</v>
      </c>
      <c r="AL69" s="66"/>
      <c r="AM69" s="66"/>
      <c r="AN69" s="66"/>
      <c r="AO69" s="66"/>
      <c r="AP69" s="66"/>
      <c r="AQ69" s="66"/>
      <c r="AR69" s="59"/>
      <c r="AS69" s="106"/>
      <c r="AT69" s="55"/>
      <c r="AU69" s="330"/>
      <c r="AV69" s="63" t="s">
        <v>254</v>
      </c>
      <c r="AW69" s="63">
        <v>5</v>
      </c>
      <c r="AX69" s="63">
        <v>7</v>
      </c>
      <c r="AY69" s="64" t="s">
        <v>317</v>
      </c>
      <c r="AZ69" s="4" t="str">
        <f>IF(AX69=99,"",CONCATENATE("10.0.",TEXT(((BITWISE_AND('IP Address (no mod)'!$D$20,AY$19)/4)+AX69*8),"0"),".",TEXT((BITWISE_AND('IP Address (no mod)'!$D$21,AY$19)*64)+AU$63*10+AW69,"0")))</f>
        <v>10.0.57.89</v>
      </c>
      <c r="BA69" s="100">
        <f t="shared" si="36"/>
        <v>0</v>
      </c>
      <c r="BB69" s="106"/>
      <c r="BC69" s="55"/>
      <c r="BD69" s="330"/>
      <c r="BE69" s="63" t="s">
        <v>254</v>
      </c>
      <c r="BF69" s="63">
        <v>5</v>
      </c>
      <c r="BG69" s="63">
        <v>7</v>
      </c>
      <c r="BH69" s="64" t="s">
        <v>93</v>
      </c>
      <c r="BI69" s="4" t="str">
        <f>IF(BG69=99,"",CONCATENATE("10.0.",TEXT(((BITWISE_AND('IP Address (no mod)'!$D$20,BH$19)/4)+BG69*8),"0"),".",TEXT((BITWISE_AND('IP Address (no mod)'!$D$21,BH$19)*64)+BD$63*10+BF69,"0")))</f>
        <v>10.0.57.153</v>
      </c>
      <c r="BJ69" s="100">
        <f t="shared" si="37"/>
        <v>0</v>
      </c>
      <c r="BK69" s="106"/>
      <c r="BL69" s="55"/>
      <c r="BM69" s="330"/>
      <c r="BN69" s="63" t="s">
        <v>254</v>
      </c>
      <c r="BO69" s="63">
        <v>5</v>
      </c>
      <c r="BP69" s="63">
        <v>7</v>
      </c>
      <c r="BQ69" s="64" t="s">
        <v>317</v>
      </c>
      <c r="BR69" s="4" t="str">
        <f>IF(BP69=99,"",CONCATENATE("10.0.",TEXT(((BITWISE_AND('IP Address (no mod)'!$D$20,BQ$19)/4)+BP69*8),"0"),".",TEXT((BITWISE_AND('IP Address (no mod)'!$D$21,BQ$19)*64)+BM$63*10+BO69,"0")))</f>
        <v>10.0.57.217</v>
      </c>
      <c r="BS69" s="100">
        <f t="shared" si="38"/>
        <v>0</v>
      </c>
      <c r="BT69" s="106"/>
      <c r="BU69" s="55"/>
      <c r="BV69" s="330"/>
      <c r="BW69" s="63" t="s">
        <v>254</v>
      </c>
      <c r="BX69" s="63">
        <v>5</v>
      </c>
      <c r="BY69" s="63">
        <v>7</v>
      </c>
      <c r="BZ69" s="64" t="s">
        <v>93</v>
      </c>
      <c r="CA69" s="4" t="str">
        <f>IF(BY69=99,"",CONCATENATE("10.0.",TEXT(((BITWISE_AND('IP Address (no mod)'!$D$20,BZ$19)/4)+BY69*8),"0"),".",TEXT((BITWISE_AND('IP Address (no mod)'!$D$21,BZ$19)*64)+BV$63*10+BX69,"0")))</f>
        <v>10.0.58.25</v>
      </c>
      <c r="CB69" s="100">
        <f t="shared" si="39"/>
        <v>0</v>
      </c>
      <c r="CC69" s="106"/>
      <c r="CD69" s="55"/>
      <c r="CE69" s="330"/>
      <c r="CF69" s="63" t="s">
        <v>254</v>
      </c>
      <c r="CG69" s="63">
        <v>5</v>
      </c>
      <c r="CH69" s="63">
        <v>7</v>
      </c>
      <c r="CI69" s="64" t="s">
        <v>317</v>
      </c>
      <c r="CJ69" s="4" t="str">
        <f>IF(CH69=99,"",CONCATENATE("10.0.",TEXT(((BITWISE_AND('IP Address (no mod)'!$D$20,CI$19)/4)+CH69*8),"0"),".",TEXT((BITWISE_AND('IP Address (no mod)'!$D$21,CI$19)*64)+CE$63*10+CG69,"0")))</f>
        <v>10.0.58.89</v>
      </c>
      <c r="CK69" s="100">
        <f t="shared" si="40"/>
        <v>0</v>
      </c>
      <c r="CL69" s="106"/>
      <c r="CM69" s="55"/>
      <c r="CN69" s="330"/>
      <c r="CO69" s="63" t="s">
        <v>254</v>
      </c>
      <c r="CP69" s="63">
        <v>5</v>
      </c>
      <c r="CQ69" s="63">
        <v>7</v>
      </c>
      <c r="CR69" s="64" t="s">
        <v>93</v>
      </c>
      <c r="CS69" s="4" t="str">
        <f>IF(CQ69=99,"",CONCATENATE("10.0.",TEXT(((BITWISE_AND('IP Address (no mod)'!$D$20,CR$19)/4)+CQ69*8),"0"),".",TEXT((BITWISE_AND('IP Address (no mod)'!$D$21,CR$19)*64)+CN$63*10+CP69,"0")))</f>
        <v>10.0.58.153</v>
      </c>
      <c r="CT69" s="100">
        <f t="shared" si="41"/>
        <v>0</v>
      </c>
      <c r="CU69" s="106"/>
      <c r="CV69" s="55"/>
      <c r="CW69" s="330"/>
      <c r="CX69" s="63" t="s">
        <v>254</v>
      </c>
      <c r="CY69" s="63">
        <v>5</v>
      </c>
      <c r="CZ69" s="63">
        <v>7</v>
      </c>
      <c r="DA69" s="64" t="s">
        <v>317</v>
      </c>
      <c r="DB69" s="4" t="str">
        <f>IF(CZ69=99,"",CONCATENATE("10.0.",TEXT(((BITWISE_AND('IP Address (no mod)'!$D$20,DA$19)/4)+CZ69*8),"0"),".",TEXT((BITWISE_AND('IP Address (no mod)'!$D$21,DA$19)*64)+CW$63*10+CY69,"0")))</f>
        <v>10.0.58.217</v>
      </c>
      <c r="DC69" s="100">
        <f t="shared" si="42"/>
        <v>0</v>
      </c>
      <c r="DD69" s="106"/>
      <c r="DE69" s="55"/>
      <c r="DF69" s="330"/>
      <c r="DG69" s="63" t="s">
        <v>254</v>
      </c>
      <c r="DH69" s="63">
        <v>5</v>
      </c>
      <c r="DI69" s="63">
        <v>7</v>
      </c>
      <c r="DJ69" s="64" t="s">
        <v>93</v>
      </c>
      <c r="DK69" s="4" t="str">
        <f>IF(DI69=99,"",CONCATENATE("10.0.",TEXT(((BITWISE_AND('IP Address (no mod)'!$D$20,DJ$19)/4)+DI69*8),"0"),".",TEXT((BITWISE_AND('IP Address (no mod)'!$D$21,DJ$19)*64)+DF$63*10+DH69,"0")))</f>
        <v>10.0.59.25</v>
      </c>
      <c r="DL69" s="100">
        <f t="shared" si="43"/>
        <v>0</v>
      </c>
      <c r="DM69" s="106"/>
      <c r="DN69" s="55"/>
      <c r="DO69" s="330"/>
      <c r="DP69" s="63" t="s">
        <v>254</v>
      </c>
      <c r="DQ69" s="63">
        <v>5</v>
      </c>
      <c r="DR69" s="63">
        <v>7</v>
      </c>
      <c r="DS69" s="64" t="s">
        <v>317</v>
      </c>
      <c r="DT69" s="4" t="str">
        <f>IF(DR69=99,"",CONCATENATE("10.0.",TEXT(((BITWISE_AND('IP Address (no mod)'!$D$20,DS$19)/4)+DR69*8),"0"),".",TEXT((BITWISE_AND('IP Address (no mod)'!$D$21,DS$19)*64)+DO$63*10+DQ69,"0")))</f>
        <v>10.0.59.89</v>
      </c>
      <c r="DU69" s="100">
        <f t="shared" si="44"/>
        <v>0</v>
      </c>
      <c r="DV69" s="98"/>
      <c r="DW69" s="55"/>
      <c r="DX69" s="330"/>
      <c r="DY69" s="63" t="s">
        <v>254</v>
      </c>
      <c r="DZ69" s="63">
        <v>5</v>
      </c>
      <c r="EA69" s="63">
        <v>7</v>
      </c>
      <c r="EB69" s="64" t="s">
        <v>93</v>
      </c>
      <c r="EC69" s="4" t="str">
        <f>IF(EA69=99,"",CONCATENATE("10.0.",TEXT(((BITWISE_AND('IP Address (no mod)'!$D$20,EB$19)/4)+EA69*8),"0"),".",TEXT((BITWISE_AND('IP Address (no mod)'!$D$21,EB$19)*64)+DX$63*10+DZ69,"0")))</f>
        <v>10.0.59.153</v>
      </c>
      <c r="ED69" s="100">
        <f t="shared" si="45"/>
        <v>0</v>
      </c>
      <c r="EE69" s="106"/>
      <c r="EF69" s="55"/>
      <c r="EG69" s="330"/>
      <c r="EH69" s="63" t="s">
        <v>254</v>
      </c>
      <c r="EI69" s="63">
        <v>5</v>
      </c>
      <c r="EJ69" s="63">
        <v>7</v>
      </c>
      <c r="EK69" s="64" t="s">
        <v>316</v>
      </c>
      <c r="EL69" s="4" t="str">
        <f>IF(EJ69=99,"",CONCATENATE("10.0.",TEXT(((BITWISE_AND('IP Address (no mod)'!$D$20,EK$19)/4)+EJ69*8),"0"),".",TEXT((BITWISE_AND('IP Address (no mod)'!$D$21,EK$19)*64)+EG$63*10+EI69,"0")))</f>
        <v>10.0.59.217</v>
      </c>
      <c r="EM69" s="100">
        <f t="shared" si="46"/>
        <v>0</v>
      </c>
      <c r="EN69" s="107"/>
    </row>
    <row r="70" spans="1:144">
      <c r="A70" s="322"/>
      <c r="B70" s="102"/>
      <c r="C70" s="55"/>
      <c r="D70" s="330"/>
      <c r="E70" s="63" t="s">
        <v>257</v>
      </c>
      <c r="F70" s="63">
        <v>6</v>
      </c>
      <c r="G70" s="63">
        <v>1</v>
      </c>
      <c r="H70" s="237" t="s">
        <v>67</v>
      </c>
      <c r="I70" s="237" t="s">
        <v>487</v>
      </c>
      <c r="J70" s="178">
        <f t="shared" si="32"/>
        <v>0</v>
      </c>
      <c r="K70" s="106"/>
      <c r="L70" s="55"/>
      <c r="M70" s="330"/>
      <c r="N70" s="63" t="s">
        <v>257</v>
      </c>
      <c r="O70" s="63">
        <v>6</v>
      </c>
      <c r="P70" s="63">
        <v>99</v>
      </c>
      <c r="Q70" s="1"/>
      <c r="R70" s="4" t="str">
        <f>IF(P70=99,"",CONCATENATE("10.0.",TEXT(((BITWISE_AND('IP Address (no mod)'!$D$20,Q$19)/4)+P70*8),"0"),".",TEXT((BITWISE_AND('IP Address (no mod)'!$D$21,Q$19)*64)+M$63*10+O70,"0")))</f>
        <v/>
      </c>
      <c r="S70" s="100">
        <f t="shared" si="33"/>
        <v>0</v>
      </c>
      <c r="T70" s="106"/>
      <c r="U70" s="55"/>
      <c r="V70" s="330"/>
      <c r="W70" s="63" t="s">
        <v>257</v>
      </c>
      <c r="X70" s="63">
        <v>6</v>
      </c>
      <c r="Y70" s="63">
        <v>7</v>
      </c>
      <c r="Z70" s="64" t="s">
        <v>315</v>
      </c>
      <c r="AA70" s="4" t="str">
        <f>IF(Y70=99,"",CONCATENATE("10.0.",TEXT(((BITWISE_AND('IP Address (no mod)'!$D$20,Z$19)/4)+Y70*8),"0"),".",TEXT((BITWISE_AND('IP Address (no mod)'!$D$21,Z$19)*64)+V$63*10+X70,"0")))</f>
        <v>10.0.56.218</v>
      </c>
      <c r="AB70" s="100">
        <f t="shared" si="34"/>
        <v>0</v>
      </c>
      <c r="AC70" s="106"/>
      <c r="AD70" s="55"/>
      <c r="AE70" s="330"/>
      <c r="AF70" s="63" t="s">
        <v>257</v>
      </c>
      <c r="AG70" s="63">
        <v>6</v>
      </c>
      <c r="AH70" s="63">
        <v>5</v>
      </c>
      <c r="AI70" s="64" t="s">
        <v>94</v>
      </c>
      <c r="AJ70" s="4" t="str">
        <f>IF(AH70=99,"",CONCATENATE("10.0.",TEXT(((BITWISE_AND('IP Address (no mod)'!$D$20,AI$19)/4)+AH70*8),"0"),".",TEXT((BITWISE_AND('IP Address (no mod)'!$D$21,AI$19)*64)+AE$63*10+AG70,"0")))</f>
        <v>10.0.45.154</v>
      </c>
      <c r="AK70" s="100">
        <f t="shared" si="35"/>
        <v>0</v>
      </c>
      <c r="AL70" s="66"/>
      <c r="AM70" s="66"/>
      <c r="AN70" s="66"/>
      <c r="AO70" s="66"/>
      <c r="AP70" s="66"/>
      <c r="AQ70" s="66"/>
      <c r="AR70" s="59"/>
      <c r="AS70" s="106"/>
      <c r="AT70" s="55"/>
      <c r="AU70" s="330"/>
      <c r="AV70" s="63" t="s">
        <v>257</v>
      </c>
      <c r="AW70" s="63">
        <v>6</v>
      </c>
      <c r="AX70" s="63">
        <v>7</v>
      </c>
      <c r="AY70" s="64" t="s">
        <v>315</v>
      </c>
      <c r="AZ70" s="4" t="str">
        <f>IF(AX70=99,"",CONCATENATE("10.0.",TEXT(((BITWISE_AND('IP Address (no mod)'!$D$20,AY$19)/4)+AX70*8),"0"),".",TEXT((BITWISE_AND('IP Address (no mod)'!$D$21,AY$19)*64)+AU$63*10+AW70,"0")))</f>
        <v>10.0.57.90</v>
      </c>
      <c r="BA70" s="100">
        <f t="shared" si="36"/>
        <v>0</v>
      </c>
      <c r="BB70" s="106"/>
      <c r="BC70" s="55"/>
      <c r="BD70" s="330"/>
      <c r="BE70" s="63" t="s">
        <v>257</v>
      </c>
      <c r="BF70" s="63">
        <v>6</v>
      </c>
      <c r="BG70" s="63">
        <v>99</v>
      </c>
      <c r="BH70" s="1"/>
      <c r="BI70" s="4" t="str">
        <f>IF(BG70=99,"",CONCATENATE("10.0.",TEXT(((BITWISE_AND('IP Address (no mod)'!$D$20,BH$19)/4)+BG70*8),"0"),".",TEXT((BITWISE_AND('IP Address (no mod)'!$D$21,BH$19)*64)+BD$63*10+BF70,"0")))</f>
        <v/>
      </c>
      <c r="BJ70" s="100">
        <f t="shared" si="37"/>
        <v>0</v>
      </c>
      <c r="BK70" s="106"/>
      <c r="BL70" s="55"/>
      <c r="BM70" s="330"/>
      <c r="BN70" s="63" t="s">
        <v>257</v>
      </c>
      <c r="BO70" s="63">
        <v>6</v>
      </c>
      <c r="BP70" s="63">
        <v>7</v>
      </c>
      <c r="BQ70" s="64" t="s">
        <v>315</v>
      </c>
      <c r="BR70" s="4" t="str">
        <f>IF(BP70=99,"",CONCATENATE("10.0.",TEXT(((BITWISE_AND('IP Address (no mod)'!$D$20,BQ$19)/4)+BP70*8),"0"),".",TEXT((BITWISE_AND('IP Address (no mod)'!$D$21,BQ$19)*64)+BM$63*10+BO70,"0")))</f>
        <v>10.0.57.218</v>
      </c>
      <c r="BS70" s="100">
        <f t="shared" si="38"/>
        <v>0</v>
      </c>
      <c r="BT70" s="106"/>
      <c r="BU70" s="55"/>
      <c r="BV70" s="330"/>
      <c r="BW70" s="63" t="s">
        <v>257</v>
      </c>
      <c r="BX70" s="63">
        <v>6</v>
      </c>
      <c r="BY70" s="63">
        <v>99</v>
      </c>
      <c r="BZ70" s="1"/>
      <c r="CA70" s="4" t="str">
        <f>IF(BY70=99,"",CONCATENATE("10.0.",TEXT(((BITWISE_AND('IP Address (no mod)'!$D$20,BZ$19)/4)+BY70*8),"0"),".",TEXT((BITWISE_AND('IP Address (no mod)'!$D$21,BZ$19)*64)+BV$63*10+BX70,"0")))</f>
        <v/>
      </c>
      <c r="CB70" s="100">
        <f t="shared" si="39"/>
        <v>0</v>
      </c>
      <c r="CC70" s="106"/>
      <c r="CD70" s="55"/>
      <c r="CE70" s="330"/>
      <c r="CF70" s="63" t="s">
        <v>257</v>
      </c>
      <c r="CG70" s="63">
        <v>6</v>
      </c>
      <c r="CH70" s="63">
        <v>7</v>
      </c>
      <c r="CI70" s="64" t="s">
        <v>315</v>
      </c>
      <c r="CJ70" s="4" t="str">
        <f>IF(CH70=99,"",CONCATENATE("10.0.",TEXT(((BITWISE_AND('IP Address (no mod)'!$D$20,CI$19)/4)+CH70*8),"0"),".",TEXT((BITWISE_AND('IP Address (no mod)'!$D$21,CI$19)*64)+CE$63*10+CG70,"0")))</f>
        <v>10.0.58.90</v>
      </c>
      <c r="CK70" s="100">
        <f t="shared" si="40"/>
        <v>0</v>
      </c>
      <c r="CL70" s="106"/>
      <c r="CM70" s="55"/>
      <c r="CN70" s="330"/>
      <c r="CO70" s="63" t="s">
        <v>257</v>
      </c>
      <c r="CP70" s="63">
        <v>6</v>
      </c>
      <c r="CQ70" s="63">
        <v>99</v>
      </c>
      <c r="CR70" s="1"/>
      <c r="CS70" s="4" t="str">
        <f>IF(CQ70=99,"",CONCATENATE("10.0.",TEXT(((BITWISE_AND('IP Address (no mod)'!$D$20,CR$19)/4)+CQ70*8),"0"),".",TEXT((BITWISE_AND('IP Address (no mod)'!$D$21,CR$19)*64)+CN$63*10+CP70,"0")))</f>
        <v/>
      </c>
      <c r="CT70" s="100">
        <f t="shared" si="41"/>
        <v>0</v>
      </c>
      <c r="CU70" s="106"/>
      <c r="CV70" s="55"/>
      <c r="CW70" s="330"/>
      <c r="CX70" s="63" t="s">
        <v>257</v>
      </c>
      <c r="CY70" s="63">
        <v>6</v>
      </c>
      <c r="CZ70" s="63">
        <v>7</v>
      </c>
      <c r="DA70" s="64" t="s">
        <v>315</v>
      </c>
      <c r="DB70" s="4" t="str">
        <f>IF(CZ70=99,"",CONCATENATE("10.0.",TEXT(((BITWISE_AND('IP Address (no mod)'!$D$20,DA$19)/4)+CZ70*8),"0"),".",TEXT((BITWISE_AND('IP Address (no mod)'!$D$21,DA$19)*64)+CW$63*10+CY70,"0")))</f>
        <v>10.0.58.218</v>
      </c>
      <c r="DC70" s="100">
        <f t="shared" si="42"/>
        <v>0</v>
      </c>
      <c r="DD70" s="106"/>
      <c r="DE70" s="55"/>
      <c r="DF70" s="330"/>
      <c r="DG70" s="63" t="s">
        <v>257</v>
      </c>
      <c r="DH70" s="63">
        <v>6</v>
      </c>
      <c r="DI70" s="63">
        <v>99</v>
      </c>
      <c r="DJ70" s="1"/>
      <c r="DK70" s="4" t="str">
        <f>IF(DI70=99,"",CONCATENATE("10.0.",TEXT(((BITWISE_AND('IP Address (no mod)'!$D$20,DJ$19)/4)+DI70*8),"0"),".",TEXT((BITWISE_AND('IP Address (no mod)'!$D$21,DJ$19)*64)+DF$63*10+DH70,"0")))</f>
        <v/>
      </c>
      <c r="DL70" s="100">
        <f t="shared" si="43"/>
        <v>0</v>
      </c>
      <c r="DM70" s="106"/>
      <c r="DN70" s="55"/>
      <c r="DO70" s="330"/>
      <c r="DP70" s="63" t="s">
        <v>257</v>
      </c>
      <c r="DQ70" s="63">
        <v>6</v>
      </c>
      <c r="DR70" s="63">
        <v>7</v>
      </c>
      <c r="DS70" s="64" t="s">
        <v>315</v>
      </c>
      <c r="DT70" s="4" t="str">
        <f>IF(DR70=99,"",CONCATENATE("10.0.",TEXT(((BITWISE_AND('IP Address (no mod)'!$D$20,DS$19)/4)+DR70*8),"0"),".",TEXT((BITWISE_AND('IP Address (no mod)'!$D$21,DS$19)*64)+DO$63*10+DQ70,"0")))</f>
        <v>10.0.59.90</v>
      </c>
      <c r="DU70" s="100">
        <f t="shared" si="44"/>
        <v>0</v>
      </c>
      <c r="DV70" s="98"/>
      <c r="DW70" s="55"/>
      <c r="DX70" s="330"/>
      <c r="DY70" s="63" t="s">
        <v>257</v>
      </c>
      <c r="DZ70" s="63">
        <v>6</v>
      </c>
      <c r="EA70" s="63">
        <v>99</v>
      </c>
      <c r="EB70" s="1"/>
      <c r="EC70" s="4" t="str">
        <f>IF(EA70=99,"",CONCATENATE("10.0.",TEXT(((BITWISE_AND('IP Address (no mod)'!$D$20,EB$19)/4)+EA70*8),"0"),".",TEXT((BITWISE_AND('IP Address (no mod)'!$D$21,EB$19)*64)+DX$63*10+DZ70,"0")))</f>
        <v/>
      </c>
      <c r="ED70" s="100">
        <f t="shared" si="45"/>
        <v>0</v>
      </c>
      <c r="EE70" s="106"/>
      <c r="EF70" s="55"/>
      <c r="EG70" s="330"/>
      <c r="EH70" s="63" t="s">
        <v>257</v>
      </c>
      <c r="EI70" s="63">
        <v>6</v>
      </c>
      <c r="EJ70" s="63">
        <v>1</v>
      </c>
      <c r="EK70" s="237" t="s">
        <v>67</v>
      </c>
      <c r="EL70" s="237" t="s">
        <v>488</v>
      </c>
      <c r="EM70" s="100">
        <f t="shared" si="46"/>
        <v>0</v>
      </c>
      <c r="EN70" s="107"/>
    </row>
    <row r="71" spans="1:144">
      <c r="A71" s="322"/>
      <c r="B71" s="102"/>
      <c r="C71" s="55"/>
      <c r="D71" s="330"/>
      <c r="E71" s="76" t="s">
        <v>259</v>
      </c>
      <c r="F71" s="76">
        <v>7</v>
      </c>
      <c r="G71" s="76">
        <v>5</v>
      </c>
      <c r="H71" s="77" t="s">
        <v>80</v>
      </c>
      <c r="I71" s="73" t="str">
        <f>IF(G71=99,"",CONCATENATE("10.0.",TEXT(((BITWISE_AND('IP Address (no mod)'!$D$20,H$59)/4)+G71*8),"0"),".",TEXT((BITWISE_AND('IP Address (no mod)'!$D$21,H$59)*64)+D$63*10+F71,"0")))</f>
        <v>10.0.40.91</v>
      </c>
      <c r="J71" s="178">
        <f t="shared" si="32"/>
        <v>0</v>
      </c>
      <c r="K71" s="106"/>
      <c r="L71" s="55"/>
      <c r="M71" s="330"/>
      <c r="N71" s="63" t="s">
        <v>259</v>
      </c>
      <c r="O71" s="63">
        <v>7</v>
      </c>
      <c r="P71" s="63">
        <v>99</v>
      </c>
      <c r="Q71" s="1"/>
      <c r="R71" s="4" t="str">
        <f>IF(P71=99,"",CONCATENATE("10.0.",TEXT(((BITWISE_AND('IP Address (no mod)'!$D$20,Q$19)/4)+P71*8),"0"),".",TEXT((BITWISE_AND('IP Address (no mod)'!$D$21,Q$19)*64)+M$63*10+O71,"0")))</f>
        <v/>
      </c>
      <c r="S71" s="100">
        <f t="shared" si="33"/>
        <v>0</v>
      </c>
      <c r="T71" s="106"/>
      <c r="U71" s="55"/>
      <c r="V71" s="330"/>
      <c r="W71" s="63" t="s">
        <v>259</v>
      </c>
      <c r="X71" s="63">
        <v>7</v>
      </c>
      <c r="Y71" s="63">
        <v>7</v>
      </c>
      <c r="Z71" s="64" t="s">
        <v>93</v>
      </c>
      <c r="AA71" s="4" t="str">
        <f>IF(Y71=99,"",CONCATENATE("10.0.",TEXT(((BITWISE_AND('IP Address (no mod)'!$D$20,Z$19)/4)+Y71*8),"0"),".",TEXT((BITWISE_AND('IP Address (no mod)'!$D$21,Z$19)*64)+V$63*10+X71,"0")))</f>
        <v>10.0.56.219</v>
      </c>
      <c r="AB71" s="100">
        <f t="shared" si="34"/>
        <v>0</v>
      </c>
      <c r="AC71" s="106"/>
      <c r="AD71" s="55"/>
      <c r="AE71" s="330"/>
      <c r="AF71" s="63" t="s">
        <v>259</v>
      </c>
      <c r="AG71" s="63">
        <v>7</v>
      </c>
      <c r="AH71" s="63">
        <v>99</v>
      </c>
      <c r="AI71" s="237" t="s">
        <v>67</v>
      </c>
      <c r="AJ71" s="238" t="s">
        <v>485</v>
      </c>
      <c r="AK71" s="100">
        <f t="shared" si="35"/>
        <v>0</v>
      </c>
      <c r="AL71" s="66"/>
      <c r="AM71" s="66"/>
      <c r="AN71" s="66"/>
      <c r="AO71" s="66"/>
      <c r="AP71" s="66"/>
      <c r="AQ71" s="66"/>
      <c r="AR71" s="59"/>
      <c r="AS71" s="106"/>
      <c r="AT71" s="55"/>
      <c r="AU71" s="330"/>
      <c r="AV71" s="63" t="s">
        <v>259</v>
      </c>
      <c r="AW71" s="63">
        <v>7</v>
      </c>
      <c r="AX71" s="63">
        <v>7</v>
      </c>
      <c r="AY71" s="64" t="s">
        <v>93</v>
      </c>
      <c r="AZ71" s="4" t="str">
        <f>IF(AX71=99,"",CONCATENATE("10.0.",TEXT(((BITWISE_AND('IP Address (no mod)'!$D$20,AY$19)/4)+AX71*8),"0"),".",TEXT((BITWISE_AND('IP Address (no mod)'!$D$21,AY$19)*64)+AU$63*10+AW71,"0")))</f>
        <v>10.0.57.91</v>
      </c>
      <c r="BA71" s="100">
        <f t="shared" si="36"/>
        <v>0</v>
      </c>
      <c r="BB71" s="106"/>
      <c r="BC71" s="55"/>
      <c r="BD71" s="330"/>
      <c r="BE71" s="63" t="s">
        <v>259</v>
      </c>
      <c r="BF71" s="63">
        <v>7</v>
      </c>
      <c r="BG71" s="63">
        <v>99</v>
      </c>
      <c r="BH71" s="64"/>
      <c r="BI71" s="4" t="str">
        <f>IF(BG71=99,"",CONCATENATE("10.0.",TEXT(((BITWISE_AND('IP Address (no mod)'!$D$20,BH$19)/4)+BG71*8),"0"),".",TEXT((BITWISE_AND('IP Address (no mod)'!$D$21,BH$19)*64)+BD$63*10+BF71,"0")))</f>
        <v/>
      </c>
      <c r="BJ71" s="100">
        <f t="shared" si="37"/>
        <v>0</v>
      </c>
      <c r="BK71" s="106"/>
      <c r="BL71" s="55"/>
      <c r="BM71" s="330"/>
      <c r="BN71" s="63" t="s">
        <v>259</v>
      </c>
      <c r="BO71" s="63">
        <v>7</v>
      </c>
      <c r="BP71" s="63">
        <v>7</v>
      </c>
      <c r="BQ71" s="64" t="s">
        <v>93</v>
      </c>
      <c r="BR71" s="4" t="str">
        <f>IF(BP71=99,"",CONCATENATE("10.0.",TEXT(((BITWISE_AND('IP Address (no mod)'!$D$20,BQ$19)/4)+BP71*8),"0"),".",TEXT((BITWISE_AND('IP Address (no mod)'!$D$21,BQ$19)*64)+BM$63*10+BO71,"0")))</f>
        <v>10.0.57.219</v>
      </c>
      <c r="BS71" s="100">
        <f t="shared" si="38"/>
        <v>0</v>
      </c>
      <c r="BT71" s="106"/>
      <c r="BU71" s="55"/>
      <c r="BV71" s="330"/>
      <c r="BW71" s="63" t="s">
        <v>259</v>
      </c>
      <c r="BX71" s="63">
        <v>7</v>
      </c>
      <c r="BY71" s="63">
        <v>99</v>
      </c>
      <c r="BZ71" s="64"/>
      <c r="CA71" s="4" t="str">
        <f>IF(BY71=99,"",CONCATENATE("10.0.",TEXT(((BITWISE_AND('IP Address (no mod)'!$D$20,BZ$19)/4)+BY71*8),"0"),".",TEXT((BITWISE_AND('IP Address (no mod)'!$D$21,BZ$19)*64)+BV$63*10+BX71,"0")))</f>
        <v/>
      </c>
      <c r="CB71" s="100">
        <f t="shared" si="39"/>
        <v>0</v>
      </c>
      <c r="CC71" s="106"/>
      <c r="CD71" s="55"/>
      <c r="CE71" s="330"/>
      <c r="CF71" s="63" t="s">
        <v>259</v>
      </c>
      <c r="CG71" s="63">
        <v>7</v>
      </c>
      <c r="CH71" s="63">
        <v>7</v>
      </c>
      <c r="CI71" s="64" t="s">
        <v>93</v>
      </c>
      <c r="CJ71" s="4" t="str">
        <f>IF(CH71=99,"",CONCATENATE("10.0.",TEXT(((BITWISE_AND('IP Address (no mod)'!$D$20,CI$19)/4)+CH71*8),"0"),".",TEXT((BITWISE_AND('IP Address (no mod)'!$D$21,CI$19)*64)+CE$63*10+CG71,"0")))</f>
        <v>10.0.58.91</v>
      </c>
      <c r="CK71" s="100">
        <f t="shared" si="40"/>
        <v>0</v>
      </c>
      <c r="CL71" s="106"/>
      <c r="CM71" s="55"/>
      <c r="CN71" s="330"/>
      <c r="CO71" s="63" t="s">
        <v>259</v>
      </c>
      <c r="CP71" s="63">
        <v>7</v>
      </c>
      <c r="CQ71" s="63">
        <v>99</v>
      </c>
      <c r="CR71" s="64"/>
      <c r="CS71" s="4" t="str">
        <f>IF(CQ71=99,"",CONCATENATE("10.0.",TEXT(((BITWISE_AND('IP Address (no mod)'!$D$20,CR$19)/4)+CQ71*8),"0"),".",TEXT((BITWISE_AND('IP Address (no mod)'!$D$21,CR$19)*64)+CN$63*10+CP71,"0")))</f>
        <v/>
      </c>
      <c r="CT71" s="100">
        <f t="shared" si="41"/>
        <v>0</v>
      </c>
      <c r="CU71" s="106"/>
      <c r="CV71" s="55"/>
      <c r="CW71" s="330"/>
      <c r="CX71" s="63" t="s">
        <v>259</v>
      </c>
      <c r="CY71" s="63">
        <v>7</v>
      </c>
      <c r="CZ71" s="63">
        <v>7</v>
      </c>
      <c r="DA71" s="64" t="s">
        <v>93</v>
      </c>
      <c r="DB71" s="4" t="str">
        <f>IF(CZ71=99,"",CONCATENATE("10.0.",TEXT(((BITWISE_AND('IP Address (no mod)'!$D$20,DA$19)/4)+CZ71*8),"0"),".",TEXT((BITWISE_AND('IP Address (no mod)'!$D$21,DA$19)*64)+CW$63*10+CY71,"0")))</f>
        <v>10.0.58.219</v>
      </c>
      <c r="DC71" s="100">
        <f t="shared" si="42"/>
        <v>0</v>
      </c>
      <c r="DD71" s="106"/>
      <c r="DE71" s="55"/>
      <c r="DF71" s="330"/>
      <c r="DG71" s="63" t="s">
        <v>259</v>
      </c>
      <c r="DH71" s="63">
        <v>7</v>
      </c>
      <c r="DI71" s="63">
        <v>99</v>
      </c>
      <c r="DJ71" s="64"/>
      <c r="DK71" s="4" t="str">
        <f>IF(DI71=99,"",CONCATENATE("10.0.",TEXT(((BITWISE_AND('IP Address (no mod)'!$D$20,DJ$19)/4)+DI71*8),"0"),".",TEXT((BITWISE_AND('IP Address (no mod)'!$D$21,DJ$19)*64)+DF$63*10+DH71,"0")))</f>
        <v/>
      </c>
      <c r="DL71" s="100">
        <f t="shared" si="43"/>
        <v>0</v>
      </c>
      <c r="DM71" s="106"/>
      <c r="DN71" s="55"/>
      <c r="DO71" s="330"/>
      <c r="DP71" s="63" t="s">
        <v>259</v>
      </c>
      <c r="DQ71" s="63">
        <v>7</v>
      </c>
      <c r="DR71" s="63">
        <v>7</v>
      </c>
      <c r="DS71" s="64" t="s">
        <v>93</v>
      </c>
      <c r="DT71" s="4" t="str">
        <f>IF(DR71=99,"",CONCATENATE("10.0.",TEXT(((BITWISE_AND('IP Address (no mod)'!$D$20,DS$19)/4)+DR71*8),"0"),".",TEXT((BITWISE_AND('IP Address (no mod)'!$D$21,DS$19)*64)+DO$63*10+DQ71,"0")))</f>
        <v>10.0.59.91</v>
      </c>
      <c r="DU71" s="100">
        <f t="shared" si="44"/>
        <v>0</v>
      </c>
      <c r="DV71" s="98"/>
      <c r="DW71" s="55"/>
      <c r="DX71" s="330"/>
      <c r="DY71" s="63" t="s">
        <v>259</v>
      </c>
      <c r="DZ71" s="63">
        <v>7</v>
      </c>
      <c r="EA71" s="63">
        <v>99</v>
      </c>
      <c r="EB71" s="64"/>
      <c r="EC71" s="4" t="str">
        <f>IF(EA71=99,"",CONCATENATE("10.0.",TEXT(((BITWISE_AND('IP Address (no mod)'!$D$20,EB$19)/4)+EA71*8),"0"),".",TEXT((BITWISE_AND('IP Address (no mod)'!$D$21,EB$19)*64)+DX$63*10+DZ71,"0")))</f>
        <v/>
      </c>
      <c r="ED71" s="100">
        <f t="shared" si="45"/>
        <v>0</v>
      </c>
      <c r="EE71" s="106"/>
      <c r="EF71" s="55"/>
      <c r="EG71" s="330"/>
      <c r="EH71" s="76" t="s">
        <v>259</v>
      </c>
      <c r="EI71" s="76">
        <v>7</v>
      </c>
      <c r="EJ71" s="76">
        <v>5</v>
      </c>
      <c r="EK71" s="77" t="s">
        <v>80</v>
      </c>
      <c r="EL71" s="4" t="str">
        <f>IF(EJ71=99,"",CONCATENATE("10.0.",TEXT(((BITWISE_AND('IP Address (no mod)'!$D$20,EK$19)/4)+EJ71*8),"0"),".",TEXT((BITWISE_AND('IP Address (no mod)'!$D$21,EK$19)*64)+EG$63*10+EI71,"0")))</f>
        <v>10.0.43.219</v>
      </c>
      <c r="EM71" s="100">
        <f t="shared" si="46"/>
        <v>0</v>
      </c>
      <c r="EN71" s="107"/>
    </row>
    <row r="72" spans="1:144">
      <c r="A72" s="322"/>
      <c r="B72" s="102"/>
      <c r="C72" s="55"/>
      <c r="D72" s="330"/>
      <c r="E72" s="8" t="s">
        <v>263</v>
      </c>
      <c r="F72" s="2">
        <v>8</v>
      </c>
      <c r="G72" s="2">
        <v>7</v>
      </c>
      <c r="H72" s="2" t="s">
        <v>318</v>
      </c>
      <c r="I72" s="175" t="str">
        <f>IF(G72=99,"",CONCATENATE("10.0.",TEXT(((BITWISE_AND('IP Address (no mod)'!$D$20,H$19)/4)+G72*8),"0"),".",TEXT((BITWISE_AND('IP Address (no mod)'!$D$21,H$19)*64)+D$63*10+F72,"0")))</f>
        <v>10.0.56.92</v>
      </c>
      <c r="J72" s="178">
        <f t="shared" si="32"/>
        <v>0</v>
      </c>
      <c r="K72" s="106"/>
      <c r="L72" s="55"/>
      <c r="M72" s="330"/>
      <c r="N72" s="8" t="s">
        <v>263</v>
      </c>
      <c r="O72" s="8">
        <v>8</v>
      </c>
      <c r="P72" s="8">
        <v>99</v>
      </c>
      <c r="Q72" s="8"/>
      <c r="R72" s="5" t="str">
        <f>IF(P72=99,"",CONCATENATE("10.0.",TEXT(((BITWISE_AND('IP Address (no mod)'!$D$20,Q$19)/4)+P72*8),"0"),".",TEXT((BITWISE_AND('IP Address (no mod)'!$D$21,Q$19)*64)+M$63*10+O72,"0")))</f>
        <v/>
      </c>
      <c r="S72" s="100">
        <f t="shared" si="33"/>
        <v>0</v>
      </c>
      <c r="T72" s="106"/>
      <c r="U72" s="55"/>
      <c r="V72" s="330"/>
      <c r="W72" s="8" t="s">
        <v>263</v>
      </c>
      <c r="X72" s="8">
        <v>8</v>
      </c>
      <c r="Y72" s="8">
        <v>99</v>
      </c>
      <c r="Z72" s="8"/>
      <c r="AA72" s="5" t="str">
        <f>IF(Y72=99,"",CONCATENATE("10.0.",TEXT(((BITWISE_AND('IP Address (no mod)'!$D$20,Z$19)/4)+Y72*8),"0"),".",TEXT((BITWISE_AND('IP Address (no mod)'!$D$21,Z$19)*64)+V$63*10+X72,"0")))</f>
        <v/>
      </c>
      <c r="AB72" s="100">
        <f t="shared" si="34"/>
        <v>0</v>
      </c>
      <c r="AC72" s="106"/>
      <c r="AD72" s="55"/>
      <c r="AE72" s="330"/>
      <c r="AF72" s="8" t="s">
        <v>263</v>
      </c>
      <c r="AG72" s="8">
        <v>8</v>
      </c>
      <c r="AH72" s="8">
        <v>6</v>
      </c>
      <c r="AI72" s="2" t="s">
        <v>61</v>
      </c>
      <c r="AJ72" s="4" t="str">
        <f>IF(AH72=99,"",CONCATENATE("10.0.",TEXT(((BITWISE_AND('IP Address (no mod)'!$D$20,AI$19)/4)+AH72*8),"0"),".",TEXT((BITWISE_AND('IP Address (no mod)'!$D$21,AI$19)*64)+AE$63*10+AG72,"0")))</f>
        <v>10.0.53.156</v>
      </c>
      <c r="AK72" s="100">
        <f t="shared" si="35"/>
        <v>0</v>
      </c>
      <c r="AL72" s="66"/>
      <c r="AM72" s="66"/>
      <c r="AN72" s="66"/>
      <c r="AO72" s="66"/>
      <c r="AP72" s="66"/>
      <c r="AQ72" s="66"/>
      <c r="AR72" s="59"/>
      <c r="AS72" s="106"/>
      <c r="AT72" s="55"/>
      <c r="AU72" s="330"/>
      <c r="AV72" s="8" t="s">
        <v>263</v>
      </c>
      <c r="AW72" s="8">
        <v>8</v>
      </c>
      <c r="AX72" s="8">
        <v>99</v>
      </c>
      <c r="AY72" s="8"/>
      <c r="AZ72" s="5" t="str">
        <f>IF(AX72=99,"",CONCATENATE("10.0.",TEXT(((BITWISE_AND('IP Address (no mod)'!$D$20,AY$19)/4)+AX72*8),"0"),".",TEXT((BITWISE_AND('IP Address (no mod)'!$D$21,AY$19)*64)+AU$63*10+AW72,"0")))</f>
        <v/>
      </c>
      <c r="BA72" s="100">
        <f t="shared" si="36"/>
        <v>0</v>
      </c>
      <c r="BB72" s="106"/>
      <c r="BC72" s="55"/>
      <c r="BD72" s="330"/>
      <c r="BE72" s="8" t="s">
        <v>263</v>
      </c>
      <c r="BF72" s="8">
        <v>8</v>
      </c>
      <c r="BG72" s="8">
        <v>99</v>
      </c>
      <c r="BH72" s="8"/>
      <c r="BI72" s="5" t="str">
        <f>IF(BG72=99,"",CONCATENATE("10.0.",TEXT(((BITWISE_AND('IP Address (no mod)'!$D$20,BH$19)/4)+BG72*8),"0"),".",TEXT((BITWISE_AND('IP Address (no mod)'!$D$21,BH$19)*64)+BD$63*10+BF72,"0")))</f>
        <v/>
      </c>
      <c r="BJ72" s="100">
        <f t="shared" si="37"/>
        <v>0</v>
      </c>
      <c r="BK72" s="106"/>
      <c r="BL72" s="55"/>
      <c r="BM72" s="330"/>
      <c r="BN72" s="8" t="s">
        <v>263</v>
      </c>
      <c r="BO72" s="8">
        <v>8</v>
      </c>
      <c r="BP72" s="8">
        <v>99</v>
      </c>
      <c r="BQ72" s="8"/>
      <c r="BR72" s="5" t="str">
        <f>IF(BP72=99,"",CONCATENATE("10.0.",TEXT(((BITWISE_AND('IP Address (no mod)'!$D$20,BQ$19)/4)+BP72*8),"0"),".",TEXT((BITWISE_AND('IP Address (no mod)'!$D$21,BQ$19)*64)+BM$63*10+BO72,"0")))</f>
        <v/>
      </c>
      <c r="BS72" s="100">
        <f t="shared" si="38"/>
        <v>0</v>
      </c>
      <c r="BT72" s="106"/>
      <c r="BU72" s="55"/>
      <c r="BV72" s="330"/>
      <c r="BW72" s="8" t="s">
        <v>263</v>
      </c>
      <c r="BX72" s="8">
        <v>8</v>
      </c>
      <c r="BY72" s="8">
        <v>99</v>
      </c>
      <c r="BZ72" s="8"/>
      <c r="CA72" s="5" t="str">
        <f>IF(BY72=99,"",CONCATENATE("10.0.",TEXT(((BITWISE_AND('IP Address (no mod)'!$D$20,BZ$19)/4)+BY72*8),"0"),".",TEXT((BITWISE_AND('IP Address (no mod)'!$D$21,BZ$19)*64)+BV$63*10+BX72,"0")))</f>
        <v/>
      </c>
      <c r="CB72" s="100">
        <f t="shared" si="39"/>
        <v>0</v>
      </c>
      <c r="CC72" s="106"/>
      <c r="CD72" s="55"/>
      <c r="CE72" s="330"/>
      <c r="CF72" s="8" t="s">
        <v>263</v>
      </c>
      <c r="CG72" s="8">
        <v>8</v>
      </c>
      <c r="CH72" s="8">
        <v>99</v>
      </c>
      <c r="CI72" s="8"/>
      <c r="CJ72" s="5" t="str">
        <f>IF(CH72=99,"",CONCATENATE("10.0.",TEXT(((BITWISE_AND('IP Address (no mod)'!$D$20,CI$19)/4)+CH72*8),"0"),".",TEXT((BITWISE_AND('IP Address (no mod)'!$D$21,CI$19)*64)+CE$63*10+CG72,"0")))</f>
        <v/>
      </c>
      <c r="CK72" s="100">
        <f t="shared" si="40"/>
        <v>0</v>
      </c>
      <c r="CL72" s="106"/>
      <c r="CM72" s="55"/>
      <c r="CN72" s="330"/>
      <c r="CO72" s="8" t="s">
        <v>263</v>
      </c>
      <c r="CP72" s="8">
        <v>8</v>
      </c>
      <c r="CQ72" s="8">
        <v>99</v>
      </c>
      <c r="CR72" s="8"/>
      <c r="CS72" s="5" t="str">
        <f>IF(CQ72=99,"",CONCATENATE("10.0.",TEXT(((BITWISE_AND('IP Address (no mod)'!$D$20,CR$19)/4)+CQ72*8),"0"),".",TEXT((BITWISE_AND('IP Address (no mod)'!$D$21,CR$19)*64)+CN$63*10+CP72,"0")))</f>
        <v/>
      </c>
      <c r="CT72" s="100">
        <f t="shared" si="41"/>
        <v>0</v>
      </c>
      <c r="CU72" s="106"/>
      <c r="CV72" s="55"/>
      <c r="CW72" s="330"/>
      <c r="CX72" s="8" t="s">
        <v>263</v>
      </c>
      <c r="CY72" s="8">
        <v>8</v>
      </c>
      <c r="CZ72" s="8">
        <v>99</v>
      </c>
      <c r="DA72" s="8"/>
      <c r="DB72" s="5" t="str">
        <f>IF(CZ72=99,"",CONCATENATE("10.0.",TEXT(((BITWISE_AND('IP Address (no mod)'!$D$20,DA$19)/4)+CZ72*8),"0"),".",TEXT((BITWISE_AND('IP Address (no mod)'!$D$21,DA$19)*64)+CW$63*10+CY72,"0")))</f>
        <v/>
      </c>
      <c r="DC72" s="100">
        <f t="shared" si="42"/>
        <v>0</v>
      </c>
      <c r="DD72" s="106"/>
      <c r="DE72" s="55"/>
      <c r="DF72" s="330"/>
      <c r="DG72" s="8" t="s">
        <v>263</v>
      </c>
      <c r="DH72" s="8">
        <v>8</v>
      </c>
      <c r="DI72" s="8">
        <v>99</v>
      </c>
      <c r="DJ72" s="8"/>
      <c r="DK72" s="5" t="str">
        <f>IF(DI72=99,"",CONCATENATE("10.0.",TEXT(((BITWISE_AND('IP Address (no mod)'!$D$20,DJ$19)/4)+DI72*8),"0"),".",TEXT((BITWISE_AND('IP Address (no mod)'!$D$21,DJ$19)*64)+DF$63*10+DH72,"0")))</f>
        <v/>
      </c>
      <c r="DL72" s="100">
        <f t="shared" si="43"/>
        <v>0</v>
      </c>
      <c r="DM72" s="106"/>
      <c r="DN72" s="55"/>
      <c r="DO72" s="330"/>
      <c r="DP72" s="8" t="s">
        <v>263</v>
      </c>
      <c r="DQ72" s="8">
        <v>8</v>
      </c>
      <c r="DR72" s="8">
        <v>99</v>
      </c>
      <c r="DS72" s="8"/>
      <c r="DT72" s="5" t="str">
        <f>IF(DR72=99,"",CONCATENATE("10.0.",TEXT(((BITWISE_AND('IP Address (no mod)'!$D$20,DS$19)/4)+DR72*8),"0"),".",TEXT((BITWISE_AND('IP Address (no mod)'!$D$21,DS$19)*64)+DO$63*10+DQ72,"0")))</f>
        <v/>
      </c>
      <c r="DU72" s="100">
        <f t="shared" si="44"/>
        <v>0</v>
      </c>
      <c r="DV72" s="98"/>
      <c r="DW72" s="55"/>
      <c r="DX72" s="330"/>
      <c r="DY72" s="8" t="s">
        <v>263</v>
      </c>
      <c r="DZ72" s="8">
        <v>8</v>
      </c>
      <c r="EA72" s="8">
        <v>99</v>
      </c>
      <c r="EB72" s="8"/>
      <c r="EC72" s="5" t="str">
        <f>IF(EA72=99,"",CONCATENATE("10.0.",TEXT(((BITWISE_AND('IP Address (no mod)'!$D$20,EB$19)/4)+EA72*8),"0"),".",TEXT((BITWISE_AND('IP Address (no mod)'!$D$21,EB$19)*64)+DX$63*10+DZ72,"0")))</f>
        <v/>
      </c>
      <c r="ED72" s="100">
        <f t="shared" si="45"/>
        <v>0</v>
      </c>
      <c r="EE72" s="106"/>
      <c r="EF72" s="55"/>
      <c r="EG72" s="330"/>
      <c r="EH72" s="8" t="s">
        <v>263</v>
      </c>
      <c r="EI72" s="2">
        <v>8</v>
      </c>
      <c r="EJ72" s="2">
        <v>7</v>
      </c>
      <c r="EK72" s="2" t="s">
        <v>318</v>
      </c>
      <c r="EL72" s="5" t="str">
        <f>IF(EJ72=99,"",CONCATENATE("10.0.",TEXT(((BITWISE_AND('IP Address (no mod)'!$D$20,EK$19)/4)+EJ72*8),"0"),".",TEXT((BITWISE_AND('IP Address (no mod)'!$D$21,EK$19)*64)+EG$63*10+EI72,"0")))</f>
        <v>10.0.59.220</v>
      </c>
      <c r="EM72" s="100">
        <f t="shared" si="46"/>
        <v>0</v>
      </c>
      <c r="EN72" s="107"/>
    </row>
    <row r="73" spans="1:144" ht="15.75" thickBot="1">
      <c r="A73" s="322"/>
      <c r="B73" s="102"/>
      <c r="C73" s="55"/>
      <c r="D73" s="331"/>
      <c r="E73" s="9" t="s">
        <v>266</v>
      </c>
      <c r="F73" s="6">
        <v>9</v>
      </c>
      <c r="G73" s="6">
        <v>99</v>
      </c>
      <c r="H73" s="6"/>
      <c r="I73" s="176" t="str">
        <f>IF(G73=99,"",CONCATENATE("10.0.",TEXT(((BITWISE_AND('IP Address (no mod)'!$D$20,H$19)/4)+G73*8),"0"),".",TEXT((BITWISE_AND('IP Address (no mod)'!$D$21,H$19)*64)+D$63*10+F73,"0")))</f>
        <v/>
      </c>
      <c r="J73" s="166">
        <f t="shared" si="32"/>
        <v>0</v>
      </c>
      <c r="K73" s="106"/>
      <c r="L73" s="55"/>
      <c r="M73" s="331"/>
      <c r="N73" s="9" t="s">
        <v>266</v>
      </c>
      <c r="O73" s="9">
        <v>9</v>
      </c>
      <c r="P73" s="9">
        <v>99</v>
      </c>
      <c r="Q73" s="50"/>
      <c r="R73" s="7" t="str">
        <f>IF(P73=99,"",CONCATENATE("10.0.",TEXT(((BITWISE_AND('IP Address (no mod)'!$D$20,Q$19)/4)+P73*8),"0"),".",TEXT((BITWISE_AND('IP Address (no mod)'!$D$21,Q$19)*64)+M$63*10+O73,"0")))</f>
        <v/>
      </c>
      <c r="S73" s="100">
        <f t="shared" si="33"/>
        <v>0</v>
      </c>
      <c r="T73" s="106"/>
      <c r="U73" s="55"/>
      <c r="V73" s="331"/>
      <c r="W73" s="9" t="s">
        <v>266</v>
      </c>
      <c r="X73" s="9">
        <v>9</v>
      </c>
      <c r="Y73" s="9">
        <v>99</v>
      </c>
      <c r="Z73" s="50"/>
      <c r="AA73" s="7" t="str">
        <f>IF(Y73=99,"",CONCATENATE("10.0.",TEXT(((BITWISE_AND('IP Address (no mod)'!$D$20,Z$19)/4)+Y73*8),"0"),".",TEXT((BITWISE_AND('IP Address (no mod)'!$D$21,Z$19)*64)+V$63*10+X73,"0")))</f>
        <v/>
      </c>
      <c r="AB73" s="100">
        <f t="shared" si="34"/>
        <v>0</v>
      </c>
      <c r="AC73" s="106"/>
      <c r="AD73" s="55"/>
      <c r="AE73" s="331"/>
      <c r="AF73" s="9" t="s">
        <v>266</v>
      </c>
      <c r="AG73" s="9">
        <v>9</v>
      </c>
      <c r="AH73" s="9"/>
      <c r="AI73" s="68"/>
      <c r="AJ73" s="4"/>
      <c r="AK73" s="100">
        <f t="shared" si="35"/>
        <v>0</v>
      </c>
      <c r="AL73" s="66"/>
      <c r="AM73" s="66"/>
      <c r="AN73" s="66"/>
      <c r="AO73" s="66"/>
      <c r="AP73" s="66"/>
      <c r="AQ73" s="66"/>
      <c r="AR73" s="59"/>
      <c r="AS73" s="106"/>
      <c r="AT73" s="55"/>
      <c r="AU73" s="331"/>
      <c r="AV73" s="9" t="s">
        <v>266</v>
      </c>
      <c r="AW73" s="9">
        <v>9</v>
      </c>
      <c r="AX73" s="9">
        <v>99</v>
      </c>
      <c r="AY73" s="50"/>
      <c r="AZ73" s="7" t="str">
        <f>IF(AX73=99,"",CONCATENATE("10.0.",TEXT(((BITWISE_AND('IP Address (no mod)'!$D$20,AY$19)/4)+AX73*8),"0"),".",TEXT((BITWISE_AND('IP Address (no mod)'!$D$21,AY$19)*64)+AU$63*10+AW73,"0")))</f>
        <v/>
      </c>
      <c r="BA73" s="100">
        <f t="shared" si="36"/>
        <v>0</v>
      </c>
      <c r="BB73" s="106"/>
      <c r="BC73" s="55"/>
      <c r="BD73" s="331"/>
      <c r="BE73" s="9" t="s">
        <v>266</v>
      </c>
      <c r="BF73" s="9">
        <v>9</v>
      </c>
      <c r="BG73" s="9">
        <v>99</v>
      </c>
      <c r="BH73" s="50"/>
      <c r="BI73" s="7" t="str">
        <f>IF(BG73=99,"",CONCATENATE("10.0.",TEXT(((BITWISE_AND('IP Address (no mod)'!$D$20,BH$19)/4)+BG73*8),"0"),".",TEXT((BITWISE_AND('IP Address (no mod)'!$D$21,BH$19)*64)+BD$63*10+BF73,"0")))</f>
        <v/>
      </c>
      <c r="BJ73" s="100">
        <f t="shared" si="37"/>
        <v>0</v>
      </c>
      <c r="BK73" s="106"/>
      <c r="BL73" s="55"/>
      <c r="BM73" s="331"/>
      <c r="BN73" s="9" t="s">
        <v>266</v>
      </c>
      <c r="BO73" s="9">
        <v>9</v>
      </c>
      <c r="BP73" s="9">
        <v>99</v>
      </c>
      <c r="BQ73" s="50"/>
      <c r="BR73" s="7" t="str">
        <f>IF(BP73=99,"",CONCATENATE("10.0.",TEXT(((BITWISE_AND('IP Address (no mod)'!$D$20,BQ$19)/4)+BP73*8),"0"),".",TEXT((BITWISE_AND('IP Address (no mod)'!$D$21,BQ$19)*64)+BM$63*10+BO73,"0")))</f>
        <v/>
      </c>
      <c r="BS73" s="100">
        <f t="shared" si="38"/>
        <v>0</v>
      </c>
      <c r="BT73" s="106"/>
      <c r="BU73" s="55"/>
      <c r="BV73" s="331"/>
      <c r="BW73" s="9" t="s">
        <v>266</v>
      </c>
      <c r="BX73" s="9">
        <v>9</v>
      </c>
      <c r="BY73" s="9">
        <v>99</v>
      </c>
      <c r="BZ73" s="50"/>
      <c r="CA73" s="7" t="str">
        <f>IF(BY73=99,"",CONCATENATE("10.0.",TEXT(((BITWISE_AND('IP Address (no mod)'!$D$20,BZ$19)/4)+BY73*8),"0"),".",TEXT((BITWISE_AND('IP Address (no mod)'!$D$21,BZ$19)*64)+BV$63*10+BX73,"0")))</f>
        <v/>
      </c>
      <c r="CB73" s="100">
        <f t="shared" si="39"/>
        <v>0</v>
      </c>
      <c r="CC73" s="106"/>
      <c r="CD73" s="55"/>
      <c r="CE73" s="331"/>
      <c r="CF73" s="9" t="s">
        <v>266</v>
      </c>
      <c r="CG73" s="9">
        <v>9</v>
      </c>
      <c r="CH73" s="9">
        <v>99</v>
      </c>
      <c r="CI73" s="50"/>
      <c r="CJ73" s="7" t="str">
        <f>IF(CH73=99,"",CONCATENATE("10.0.",TEXT(((BITWISE_AND('IP Address (no mod)'!$D$20,CI$19)/4)+CH73*8),"0"),".",TEXT((BITWISE_AND('IP Address (no mod)'!$D$21,CI$19)*64)+CE$63*10+CG73,"0")))</f>
        <v/>
      </c>
      <c r="CK73" s="100">
        <f t="shared" si="40"/>
        <v>0</v>
      </c>
      <c r="CL73" s="106"/>
      <c r="CM73" s="55"/>
      <c r="CN73" s="331"/>
      <c r="CO73" s="9" t="s">
        <v>266</v>
      </c>
      <c r="CP73" s="9">
        <v>9</v>
      </c>
      <c r="CQ73" s="9">
        <v>99</v>
      </c>
      <c r="CR73" s="50"/>
      <c r="CS73" s="7" t="str">
        <f>IF(CQ73=99,"",CONCATENATE("10.0.",TEXT(((BITWISE_AND('IP Address (no mod)'!$D$20,CR$19)/4)+CQ73*8),"0"),".",TEXT((BITWISE_AND('IP Address (no mod)'!$D$21,CR$19)*64)+CN$63*10+CP73,"0")))</f>
        <v/>
      </c>
      <c r="CT73" s="100">
        <f t="shared" si="41"/>
        <v>0</v>
      </c>
      <c r="CU73" s="106"/>
      <c r="CV73" s="55"/>
      <c r="CW73" s="331"/>
      <c r="CX73" s="9" t="s">
        <v>266</v>
      </c>
      <c r="CY73" s="9">
        <v>9</v>
      </c>
      <c r="CZ73" s="9">
        <v>99</v>
      </c>
      <c r="DA73" s="50"/>
      <c r="DB73" s="7" t="str">
        <f>IF(CZ73=99,"",CONCATENATE("10.0.",TEXT(((BITWISE_AND('IP Address (no mod)'!$D$20,DA$19)/4)+CZ73*8),"0"),".",TEXT((BITWISE_AND('IP Address (no mod)'!$D$21,DA$19)*64)+CW$63*10+CY73,"0")))</f>
        <v/>
      </c>
      <c r="DC73" s="100">
        <f t="shared" si="42"/>
        <v>0</v>
      </c>
      <c r="DD73" s="106"/>
      <c r="DE73" s="55"/>
      <c r="DF73" s="331"/>
      <c r="DG73" s="9" t="s">
        <v>266</v>
      </c>
      <c r="DH73" s="9">
        <v>9</v>
      </c>
      <c r="DI73" s="9">
        <v>99</v>
      </c>
      <c r="DJ73" s="50"/>
      <c r="DK73" s="7" t="str">
        <f>IF(DI73=99,"",CONCATENATE("10.0.",TEXT(((BITWISE_AND('IP Address (no mod)'!$D$20,DJ$19)/4)+DI73*8),"0"),".",TEXT((BITWISE_AND('IP Address (no mod)'!$D$21,DJ$19)*64)+DF$63*10+DH73,"0")))</f>
        <v/>
      </c>
      <c r="DL73" s="100">
        <f t="shared" si="43"/>
        <v>0</v>
      </c>
      <c r="DM73" s="106"/>
      <c r="DN73" s="55"/>
      <c r="DO73" s="331"/>
      <c r="DP73" s="9" t="s">
        <v>266</v>
      </c>
      <c r="DQ73" s="9">
        <v>9</v>
      </c>
      <c r="DR73" s="9">
        <v>99</v>
      </c>
      <c r="DS73" s="50"/>
      <c r="DT73" s="7" t="str">
        <f>IF(DR73=99,"",CONCATENATE("10.0.",TEXT(((BITWISE_AND('IP Address (no mod)'!$D$20,DS$19)/4)+DR73*8),"0"),".",TEXT((BITWISE_AND('IP Address (no mod)'!$D$21,DS$19)*64)+DO$63*10+DQ73,"0")))</f>
        <v/>
      </c>
      <c r="DU73" s="100">
        <f t="shared" si="44"/>
        <v>0</v>
      </c>
      <c r="DV73" s="98"/>
      <c r="DW73" s="55"/>
      <c r="DX73" s="331"/>
      <c r="DY73" s="9" t="s">
        <v>266</v>
      </c>
      <c r="DZ73" s="9">
        <v>9</v>
      </c>
      <c r="EA73" s="9">
        <v>99</v>
      </c>
      <c r="EB73" s="50"/>
      <c r="EC73" s="7" t="str">
        <f>IF(EA73=99,"",CONCATENATE("10.0.",TEXT(((BITWISE_AND('IP Address (no mod)'!$D$20,EB$19)/4)+EA73*8),"0"),".",TEXT((BITWISE_AND('IP Address (no mod)'!$D$21,EB$19)*64)+DX$63*10+DZ73,"0")))</f>
        <v/>
      </c>
      <c r="ED73" s="100">
        <f t="shared" si="45"/>
        <v>0</v>
      </c>
      <c r="EE73" s="106"/>
      <c r="EF73" s="55"/>
      <c r="EG73" s="331"/>
      <c r="EH73" s="9" t="s">
        <v>266</v>
      </c>
      <c r="EI73" s="6">
        <v>9</v>
      </c>
      <c r="EJ73" s="6">
        <v>99</v>
      </c>
      <c r="EK73" s="6"/>
      <c r="EL73" s="7" t="str">
        <f>IF(EJ73=99,"",CONCATENATE("10.0.",TEXT(((BITWISE_AND('IP Address (no mod)'!$D$20,EK$19)/4)+EJ73*8),"0"),".",TEXT((BITWISE_AND('IP Address (no mod)'!$D$21,EK$19)*64)+EG$63*10+EI73,"0")))</f>
        <v/>
      </c>
      <c r="EM73" s="100">
        <f t="shared" si="46"/>
        <v>0</v>
      </c>
      <c r="EN73" s="107"/>
    </row>
    <row r="74" spans="1:144" ht="15.75" thickBot="1">
      <c r="A74" s="322"/>
      <c r="B74" s="102"/>
      <c r="C74" s="15"/>
      <c r="D74" s="81"/>
      <c r="E74" s="81"/>
      <c r="F74" s="81"/>
      <c r="G74" s="81"/>
      <c r="H74" s="81"/>
      <c r="I74" s="81"/>
      <c r="J74" s="72"/>
      <c r="K74" s="106"/>
      <c r="L74" s="15"/>
      <c r="M74" s="65"/>
      <c r="N74" s="65"/>
      <c r="O74" s="65"/>
      <c r="P74" s="65"/>
      <c r="Q74" s="65"/>
      <c r="R74" s="65"/>
      <c r="S74" s="4"/>
      <c r="T74" s="106"/>
      <c r="U74" s="15"/>
      <c r="V74" s="65"/>
      <c r="W74" s="65"/>
      <c r="X74" s="65"/>
      <c r="Y74" s="65"/>
      <c r="Z74" s="65"/>
      <c r="AA74" s="65"/>
      <c r="AB74" s="4"/>
      <c r="AC74" s="106"/>
      <c r="AD74" s="15"/>
      <c r="AE74" s="65"/>
      <c r="AF74" s="65"/>
      <c r="AG74" s="65"/>
      <c r="AH74" s="65"/>
      <c r="AI74" s="65"/>
      <c r="AJ74" s="65"/>
      <c r="AK74" s="73"/>
      <c r="AL74" s="66"/>
      <c r="AM74" s="66"/>
      <c r="AN74" s="66"/>
      <c r="AO74" s="66"/>
      <c r="AP74" s="66"/>
      <c r="AQ74" s="66"/>
      <c r="AR74" s="59"/>
      <c r="AS74" s="106"/>
      <c r="AT74" s="15"/>
      <c r="AU74" s="65"/>
      <c r="AV74" s="65"/>
      <c r="AW74" s="65"/>
      <c r="AX74" s="65"/>
      <c r="AY74" s="65"/>
      <c r="AZ74" s="65"/>
      <c r="BA74" s="4"/>
      <c r="BB74" s="106"/>
      <c r="BC74" s="15"/>
      <c r="BD74" s="65"/>
      <c r="BE74" s="65"/>
      <c r="BF74" s="65"/>
      <c r="BG74" s="65"/>
      <c r="BH74" s="65"/>
      <c r="BI74" s="65"/>
      <c r="BJ74" s="4"/>
      <c r="BK74" s="106"/>
      <c r="BL74" s="15"/>
      <c r="BM74" s="65"/>
      <c r="BN74" s="65"/>
      <c r="BO74" s="65"/>
      <c r="BP74" s="65"/>
      <c r="BQ74" s="65"/>
      <c r="BR74" s="65"/>
      <c r="BS74" s="4"/>
      <c r="BT74" s="106"/>
      <c r="BU74" s="15"/>
      <c r="BV74" s="65"/>
      <c r="BW74" s="65"/>
      <c r="BX74" s="65"/>
      <c r="BY74" s="65"/>
      <c r="BZ74" s="65"/>
      <c r="CA74" s="65"/>
      <c r="CB74" s="4"/>
      <c r="CC74" s="106"/>
      <c r="CD74" s="15"/>
      <c r="CE74" s="65"/>
      <c r="CF74" s="65"/>
      <c r="CG74" s="65"/>
      <c r="CH74" s="65"/>
      <c r="CI74" s="65"/>
      <c r="CJ74" s="65"/>
      <c r="CK74" s="4"/>
      <c r="CL74" s="106"/>
      <c r="CM74" s="15"/>
      <c r="CN74" s="65"/>
      <c r="CO74" s="65"/>
      <c r="CP74" s="65"/>
      <c r="CQ74" s="65"/>
      <c r="CR74" s="65"/>
      <c r="CS74" s="65"/>
      <c r="CT74" s="4"/>
      <c r="CU74" s="106"/>
      <c r="CV74" s="15"/>
      <c r="CW74" s="65"/>
      <c r="CX74" s="65"/>
      <c r="CY74" s="65"/>
      <c r="CZ74" s="65"/>
      <c r="DA74" s="65"/>
      <c r="DB74" s="65"/>
      <c r="DC74" s="4"/>
      <c r="DD74" s="106"/>
      <c r="DE74" s="15"/>
      <c r="DF74" s="65"/>
      <c r="DG74" s="65"/>
      <c r="DH74" s="65"/>
      <c r="DI74" s="65"/>
      <c r="DJ74" s="65"/>
      <c r="DK74" s="65"/>
      <c r="DL74" s="4"/>
      <c r="DM74" s="106"/>
      <c r="DN74" s="15"/>
      <c r="DO74" s="65"/>
      <c r="DP74" s="65"/>
      <c r="DQ74" s="65"/>
      <c r="DR74" s="65"/>
      <c r="DS74" s="65"/>
      <c r="DT74" s="65"/>
      <c r="DU74" s="4"/>
      <c r="DV74" s="98"/>
      <c r="DW74" s="15"/>
      <c r="DX74" s="65"/>
      <c r="DY74" s="65"/>
      <c r="DZ74" s="65"/>
      <c r="EA74" s="65"/>
      <c r="EB74" s="65"/>
      <c r="EC74" s="65"/>
      <c r="ED74" s="4"/>
      <c r="EE74" s="106"/>
      <c r="EF74" s="15"/>
      <c r="EG74" s="81"/>
      <c r="EH74" s="81"/>
      <c r="EI74" s="81"/>
      <c r="EJ74" s="81"/>
      <c r="EK74" s="81"/>
      <c r="EL74" s="81"/>
      <c r="EM74" s="59"/>
      <c r="EN74" s="107"/>
    </row>
    <row r="75" spans="1:144" ht="15.75" thickBot="1">
      <c r="A75" s="322"/>
      <c r="B75" s="102"/>
      <c r="C75" s="55"/>
      <c r="D75" s="56" t="s">
        <v>235</v>
      </c>
      <c r="E75" s="57" t="s">
        <v>187</v>
      </c>
      <c r="F75" s="57" t="s">
        <v>236</v>
      </c>
      <c r="G75" s="57" t="s">
        <v>182</v>
      </c>
      <c r="H75" s="57" t="s">
        <v>186</v>
      </c>
      <c r="I75" s="58" t="s">
        <v>237</v>
      </c>
      <c r="J75" s="132" t="s">
        <v>238</v>
      </c>
      <c r="K75" s="106"/>
      <c r="L75" s="55"/>
      <c r="M75" s="56" t="s">
        <v>235</v>
      </c>
      <c r="N75" s="57" t="s">
        <v>187</v>
      </c>
      <c r="O75" s="57" t="s">
        <v>236</v>
      </c>
      <c r="P75" s="57" t="s">
        <v>182</v>
      </c>
      <c r="Q75" s="57" t="s">
        <v>186</v>
      </c>
      <c r="R75" s="58" t="s">
        <v>237</v>
      </c>
      <c r="S75" s="132" t="s">
        <v>238</v>
      </c>
      <c r="T75" s="106"/>
      <c r="U75" s="55"/>
      <c r="V75" s="56" t="s">
        <v>235</v>
      </c>
      <c r="W75" s="57" t="s">
        <v>187</v>
      </c>
      <c r="X75" s="57" t="s">
        <v>236</v>
      </c>
      <c r="Y75" s="57" t="s">
        <v>182</v>
      </c>
      <c r="Z75" s="57" t="s">
        <v>186</v>
      </c>
      <c r="AA75" s="58" t="s">
        <v>237</v>
      </c>
      <c r="AB75" s="132" t="s">
        <v>238</v>
      </c>
      <c r="AC75" s="106"/>
      <c r="AD75" s="55"/>
      <c r="AE75" s="56" t="s">
        <v>235</v>
      </c>
      <c r="AF75" s="57" t="s">
        <v>187</v>
      </c>
      <c r="AG75" s="57" t="s">
        <v>236</v>
      </c>
      <c r="AH75" s="57" t="s">
        <v>182</v>
      </c>
      <c r="AI75" s="57" t="s">
        <v>186</v>
      </c>
      <c r="AJ75" s="58" t="s">
        <v>237</v>
      </c>
      <c r="AK75" s="132" t="s">
        <v>238</v>
      </c>
      <c r="AL75" s="1"/>
      <c r="AM75" s="1"/>
      <c r="AN75" s="1"/>
      <c r="AO75" s="1"/>
      <c r="AP75" s="1"/>
      <c r="AQ75" s="1"/>
      <c r="AR75" s="59"/>
      <c r="AS75" s="106"/>
      <c r="AT75" s="55"/>
      <c r="AU75" s="56" t="s">
        <v>235</v>
      </c>
      <c r="AV75" s="57" t="s">
        <v>187</v>
      </c>
      <c r="AW75" s="57" t="s">
        <v>236</v>
      </c>
      <c r="AX75" s="57" t="s">
        <v>182</v>
      </c>
      <c r="AY75" s="57" t="s">
        <v>186</v>
      </c>
      <c r="AZ75" s="58" t="s">
        <v>237</v>
      </c>
      <c r="BA75" s="132" t="s">
        <v>238</v>
      </c>
      <c r="BB75" s="106"/>
      <c r="BC75" s="55"/>
      <c r="BD75" s="56" t="s">
        <v>235</v>
      </c>
      <c r="BE75" s="57" t="s">
        <v>187</v>
      </c>
      <c r="BF75" s="57" t="s">
        <v>236</v>
      </c>
      <c r="BG75" s="57" t="s">
        <v>182</v>
      </c>
      <c r="BH75" s="57" t="s">
        <v>186</v>
      </c>
      <c r="BI75" s="58" t="s">
        <v>237</v>
      </c>
      <c r="BJ75" s="132" t="s">
        <v>238</v>
      </c>
      <c r="BK75" s="106"/>
      <c r="BL75" s="55"/>
      <c r="BM75" s="56" t="s">
        <v>235</v>
      </c>
      <c r="BN75" s="57" t="s">
        <v>187</v>
      </c>
      <c r="BO75" s="57" t="s">
        <v>236</v>
      </c>
      <c r="BP75" s="57" t="s">
        <v>182</v>
      </c>
      <c r="BQ75" s="57" t="s">
        <v>186</v>
      </c>
      <c r="BR75" s="58" t="s">
        <v>237</v>
      </c>
      <c r="BS75" s="132" t="s">
        <v>238</v>
      </c>
      <c r="BT75" s="106"/>
      <c r="BU75" s="55"/>
      <c r="BV75" s="56" t="s">
        <v>235</v>
      </c>
      <c r="BW75" s="57" t="s">
        <v>187</v>
      </c>
      <c r="BX75" s="57" t="s">
        <v>236</v>
      </c>
      <c r="BY75" s="57" t="s">
        <v>182</v>
      </c>
      <c r="BZ75" s="57" t="s">
        <v>186</v>
      </c>
      <c r="CA75" s="58" t="s">
        <v>237</v>
      </c>
      <c r="CB75" s="132" t="s">
        <v>238</v>
      </c>
      <c r="CC75" s="106"/>
      <c r="CD75" s="55"/>
      <c r="CE75" s="56" t="s">
        <v>235</v>
      </c>
      <c r="CF75" s="57" t="s">
        <v>187</v>
      </c>
      <c r="CG75" s="57" t="s">
        <v>236</v>
      </c>
      <c r="CH75" s="57" t="s">
        <v>182</v>
      </c>
      <c r="CI75" s="57" t="s">
        <v>186</v>
      </c>
      <c r="CJ75" s="58" t="s">
        <v>237</v>
      </c>
      <c r="CK75" s="132" t="s">
        <v>238</v>
      </c>
      <c r="CL75" s="106"/>
      <c r="CM75" s="55"/>
      <c r="CN75" s="56" t="s">
        <v>235</v>
      </c>
      <c r="CO75" s="57" t="s">
        <v>187</v>
      </c>
      <c r="CP75" s="57" t="s">
        <v>236</v>
      </c>
      <c r="CQ75" s="57" t="s">
        <v>182</v>
      </c>
      <c r="CR75" s="57" t="s">
        <v>186</v>
      </c>
      <c r="CS75" s="58" t="s">
        <v>237</v>
      </c>
      <c r="CT75" s="132" t="s">
        <v>238</v>
      </c>
      <c r="CU75" s="106"/>
      <c r="CV75" s="55"/>
      <c r="CW75" s="56" t="s">
        <v>235</v>
      </c>
      <c r="CX75" s="57" t="s">
        <v>187</v>
      </c>
      <c r="CY75" s="57" t="s">
        <v>236</v>
      </c>
      <c r="CZ75" s="57" t="s">
        <v>182</v>
      </c>
      <c r="DA75" s="57" t="s">
        <v>186</v>
      </c>
      <c r="DB75" s="58" t="s">
        <v>237</v>
      </c>
      <c r="DC75" s="132" t="s">
        <v>238</v>
      </c>
      <c r="DD75" s="106"/>
      <c r="DE75" s="55"/>
      <c r="DF75" s="56" t="s">
        <v>235</v>
      </c>
      <c r="DG75" s="57" t="s">
        <v>187</v>
      </c>
      <c r="DH75" s="57" t="s">
        <v>236</v>
      </c>
      <c r="DI75" s="57" t="s">
        <v>182</v>
      </c>
      <c r="DJ75" s="57" t="s">
        <v>186</v>
      </c>
      <c r="DK75" s="58" t="s">
        <v>237</v>
      </c>
      <c r="DL75" s="132" t="s">
        <v>238</v>
      </c>
      <c r="DM75" s="106"/>
      <c r="DN75" s="55"/>
      <c r="DO75" s="56" t="s">
        <v>235</v>
      </c>
      <c r="DP75" s="57" t="s">
        <v>187</v>
      </c>
      <c r="DQ75" s="57" t="s">
        <v>236</v>
      </c>
      <c r="DR75" s="57" t="s">
        <v>182</v>
      </c>
      <c r="DS75" s="57" t="s">
        <v>186</v>
      </c>
      <c r="DT75" s="58" t="s">
        <v>237</v>
      </c>
      <c r="DU75" s="132" t="s">
        <v>238</v>
      </c>
      <c r="DV75" s="98"/>
      <c r="DW75" s="55"/>
      <c r="DX75" s="56" t="s">
        <v>235</v>
      </c>
      <c r="DY75" s="57" t="s">
        <v>187</v>
      </c>
      <c r="DZ75" s="57" t="s">
        <v>236</v>
      </c>
      <c r="EA75" s="57" t="s">
        <v>182</v>
      </c>
      <c r="EB75" s="57" t="s">
        <v>186</v>
      </c>
      <c r="EC75" s="58" t="s">
        <v>237</v>
      </c>
      <c r="ED75" s="132" t="s">
        <v>238</v>
      </c>
      <c r="EE75" s="106"/>
      <c r="EF75" s="55"/>
      <c r="EG75" s="56" t="s">
        <v>235</v>
      </c>
      <c r="EH75" s="57" t="s">
        <v>187</v>
      </c>
      <c r="EI75" s="57" t="s">
        <v>236</v>
      </c>
      <c r="EJ75" s="57" t="s">
        <v>182</v>
      </c>
      <c r="EK75" s="57" t="s">
        <v>186</v>
      </c>
      <c r="EL75" s="58" t="s">
        <v>237</v>
      </c>
      <c r="EM75" s="132" t="s">
        <v>238</v>
      </c>
      <c r="EN75" s="107"/>
    </row>
    <row r="76" spans="1:144" ht="15.75" thickBot="1">
      <c r="A76" s="322"/>
      <c r="B76" s="102"/>
      <c r="C76" s="55"/>
      <c r="D76" s="60">
        <v>3</v>
      </c>
      <c r="E76" s="139"/>
      <c r="F76" s="140">
        <v>1</v>
      </c>
      <c r="G76" s="141">
        <v>0</v>
      </c>
      <c r="H76" s="57" t="s">
        <v>305</v>
      </c>
      <c r="I76" s="4" t="str">
        <f>IF(G76=99,"",CONCATENATE("10.0.",TEXT(((BITWISE_AND('IP Address (no mod)'!$D$20,H$19)/4)+G76*8+120),"0"),".",TEXT((BITWISE_AND('IP Address (no mod)'!$D$21,H$19)*64)+D$76*10+F76,"0")))</f>
        <v>10.0.120.95</v>
      </c>
      <c r="J76" s="100">
        <f>COUNTIF($I$23:$I$111,I76)+COUNTIF($R$23:$R$111,I76)+COUNTIF($AA$23:$AA$111,I76)+COUNTIF($AJ$23:$AJ$111,I76)+COUNTIF($AQ$23:$AQ$111,I76)+COUNTIF($AZ$23:$AZ$111,I76)+COUNTIF($BI$23:$BI$111,I76)+COUNTIF($BR$23:$BR$111,I76)+COUNTIF($CA$23:$CA$111,I76)+COUNTIF($CJ$23:$CJ$111,I76)+COUNTIF($CS$23:$CS$111,I76)+COUNTIF($DB$23:$DB$111,I76)+COUNTIF($DK$23:$DK$111,I76)+COUNTIF($DT$23:$DT$111,I76)+COUNTIF($EC$23:$EC$111,I76)+COUNTIF($EL$23:$EL$111,I76)-1</f>
        <v>0</v>
      </c>
      <c r="K76" s="106"/>
      <c r="L76" s="55"/>
      <c r="M76" s="60">
        <v>3</v>
      </c>
      <c r="N76" s="139"/>
      <c r="O76" s="140">
        <v>1</v>
      </c>
      <c r="P76" s="141">
        <v>0</v>
      </c>
      <c r="Q76" s="57" t="s">
        <v>304</v>
      </c>
      <c r="R76" s="4" t="str">
        <f>IF(P76=99,"",CONCATENATE("10.0.",TEXT(((BITWISE_AND('IP Address (no mod)'!$D$20,Q$19)/4)+P76*8+120),"0"),".",TEXT((BITWISE_AND('IP Address (no mod)'!$D$21,Q$19)*64)+M$76*10+O76,"0")))</f>
        <v>10.0.120.159</v>
      </c>
      <c r="S76" s="100">
        <f>COUNTIF($I$23:$I$111,R76)+COUNTIF($R$23:$R$111,R76)+COUNTIF($AA$23:$AA$111,R76)+COUNTIF($AJ$23:$AJ$111,R76)+COUNTIF($AQ$23:$AQ$111,R76)+COUNTIF($AZ$23:$AZ$111,R76)+COUNTIF($BI$23:$BI$111,R76)+COUNTIF($BR$23:$BR$111,R76)+COUNTIF($CA$23:$CA$111,R76)+COUNTIF($CJ$23:$CJ$111,R76)+COUNTIF($CS$23:$CS$111,R76)+COUNTIF($DB$23:$DB$111,R76)+COUNTIF($DK$23:$DK$111,R76)+COUNTIF($DT$23:$DT$111,R76)+COUNTIF($EC$23:$EC$111,R76)+COUNTIF($EL$23:$EL$111,R76)-1</f>
        <v>0</v>
      </c>
      <c r="T76" s="106"/>
      <c r="U76" s="55"/>
      <c r="V76" s="60">
        <v>3</v>
      </c>
      <c r="W76" s="139"/>
      <c r="X76" s="140">
        <v>1</v>
      </c>
      <c r="Y76" s="141">
        <v>0</v>
      </c>
      <c r="Z76" s="57" t="s">
        <v>304</v>
      </c>
      <c r="AA76" s="4" t="str">
        <f>IF(Y76=99,"",CONCATENATE("10.0.",TEXT(((BITWISE_AND('IP Address (no mod)'!$D$20,Z$19)/4)+Y76*8+120),"0"),".",TEXT((BITWISE_AND('IP Address (no mod)'!$D$21,Z$19)*64)+V$76*10+X76,"0")))</f>
        <v>10.0.120.223</v>
      </c>
      <c r="AB76" s="100">
        <f>COUNTIF($I$23:$I$111,AA76)+COUNTIF($R$23:$R$111,AA76)+COUNTIF($AA$23:$AA$111,AA76)+COUNTIF($AJ$23:$AJ$111,AA76)+COUNTIF($AQ$23:$AQ$111,AA76)+COUNTIF($AZ$23:$AZ$111,AA76)+COUNTIF($BI$23:$BI$111,AA76)+COUNTIF($BR$23:$BR$111,AA76)+COUNTIF($CA$23:$CA$111,AA76)+COUNTIF($CJ$23:$CJ$111,AA76)+COUNTIF($CS$23:$CS$111,AA76)+COUNTIF($DB$23:$DB$111,AA76)+COUNTIF($DK$23:$DK$111,AA76)+COUNTIF($DT$23:$DT$111,AA76)+COUNTIF($EC$23:$EC$111,AA76)+COUNTIF($EL$23:$EL$111,AA76)-1</f>
        <v>0</v>
      </c>
      <c r="AC76" s="106"/>
      <c r="AD76" s="55"/>
      <c r="AE76" s="60">
        <v>3</v>
      </c>
      <c r="AF76" s="139"/>
      <c r="AG76" s="140">
        <v>1</v>
      </c>
      <c r="AH76" s="141">
        <v>0</v>
      </c>
      <c r="AI76" s="57" t="s">
        <v>304</v>
      </c>
      <c r="AJ76" s="4" t="str">
        <f>IF(AH76=99,"",CONCATENATE("10.0.",TEXT(((BITWISE_AND('IP Address (no mod)'!$D$20,AI$19)/4)+AH76*8+120),"0"),".",TEXT((BITWISE_AND('IP Address (no mod)'!$D$21,AI$19)*64)+AE$76*10+AG76,"0")))</f>
        <v>10.0.125.159</v>
      </c>
      <c r="AK76" s="100">
        <f>COUNTIF($I$23:$I$111,AJ76)+COUNTIF($R$23:$R$111,AJ76)+COUNTIF($AA$23:$AA$111,AJ76)+COUNTIF($AJ$23:$AJ$111,AJ76)+COUNTIF($AQ$23:$AQ$111,AJ76)+COUNTIF($AZ$23:$AZ$111,AJ76)+COUNTIF($BI$23:$BI$111,AJ76)+COUNTIF($BR$23:$BR$111,AJ76)+COUNTIF($CA$23:$CA$111,AJ76)+COUNTIF($CJ$23:$CJ$111,AJ76)+COUNTIF($CS$23:$CS$111,AJ76)+COUNTIF($DB$23:$DB$111,AJ76)+COUNTIF($DK$23:$DK$111,AJ76)+COUNTIF($DT$23:$DT$111,AJ76)+COUNTIF($EC$23:$EC$111,AJ76)+COUNTIF($EL$23:$EL$111,AJ76)-1</f>
        <v>0</v>
      </c>
      <c r="AL76" s="66"/>
      <c r="AM76" s="66"/>
      <c r="AN76" s="66"/>
      <c r="AO76" s="66"/>
      <c r="AP76" s="66"/>
      <c r="AQ76" s="66"/>
      <c r="AR76" s="59"/>
      <c r="AS76" s="106"/>
      <c r="AT76" s="55"/>
      <c r="AU76" s="60">
        <v>3</v>
      </c>
      <c r="AV76" s="139"/>
      <c r="AW76" s="140">
        <v>1</v>
      </c>
      <c r="AX76" s="141">
        <v>0</v>
      </c>
      <c r="AY76" s="57" t="s">
        <v>304</v>
      </c>
      <c r="AZ76" s="4" t="str">
        <f>IF(AX76=99,"",CONCATENATE("10.0.",TEXT(((BITWISE_AND('IP Address (no mod)'!$D$20,AY$19)/4)+AX76*8+120),"0"),".",TEXT((BITWISE_AND('IP Address (no mod)'!$D$21,AY$19)*64)+AU$76*10+AW76,"0")))</f>
        <v>10.0.121.95</v>
      </c>
      <c r="BA76" s="100">
        <f>COUNTIF($I$23:$I$111,AZ76)+COUNTIF($R$23:$R$111,AZ76)+COUNTIF($AA$23:$AA$111,AZ76)+COUNTIF($AJ$23:$AJ$111,AZ76)+COUNTIF($AQ$23:$AQ$111,AZ76)+COUNTIF($AZ$23:$AZ$111,AZ76)+COUNTIF($BI$23:$BI$111,AZ76)+COUNTIF($BR$23:$BR$111,AZ76)+COUNTIF($CA$23:$CA$111,AZ76)+COUNTIF($CJ$23:$CJ$111,AZ76)+COUNTIF($CS$23:$CS$111,AZ76)+COUNTIF($DB$23:$DB$111,AZ76)+COUNTIF($DK$23:$DK$111,AZ76)+COUNTIF($DT$23:$DT$111,AZ76)+COUNTIF($EC$23:$EC$111,AZ76)+COUNTIF($EL$23:$EL$111,AZ76)-1</f>
        <v>0</v>
      </c>
      <c r="BB76" s="106"/>
      <c r="BC76" s="55"/>
      <c r="BD76" s="60">
        <v>3</v>
      </c>
      <c r="BE76" s="139"/>
      <c r="BF76" s="140">
        <v>1</v>
      </c>
      <c r="BG76" s="141">
        <v>0</v>
      </c>
      <c r="BH76" s="57" t="s">
        <v>304</v>
      </c>
      <c r="BI76" s="4" t="str">
        <f>IF(BG76=99,"",CONCATENATE("10.0.",TEXT(((BITWISE_AND('IP Address (no mod)'!$D$20,BH$19)/4)+BG76*8+120),"0"),".",TEXT((BITWISE_AND('IP Address (no mod)'!$D$21,BH$19)*64)+BD$76*10+BF76,"0")))</f>
        <v>10.0.121.159</v>
      </c>
      <c r="BJ76" s="100">
        <f>COUNTIF($I$23:$I$111,BI76)+COUNTIF($R$23:$R$111,BI76)+COUNTIF($AA$23:$AA$111,BI76)+COUNTIF($AJ$23:$AJ$111,BI76)+COUNTIF($AQ$23:$AQ$111,BI76)+COUNTIF($AZ$23:$AZ$111,BI76)+COUNTIF($BI$23:$BI$111,BI76)+COUNTIF($BR$23:$BR$111,BI76)+COUNTIF($CA$23:$CA$111,BI76)+COUNTIF($CJ$23:$CJ$111,BI76)+COUNTIF($CS$23:$CS$111,BI76)+COUNTIF($DB$23:$DB$111,BI76)+COUNTIF($DK$23:$DK$111,BI76)+COUNTIF($DT$23:$DT$111,BI76)+COUNTIF($EC$23:$EC$111,BI76)+COUNTIF($EL$23:$EL$111,BI76)-1</f>
        <v>0</v>
      </c>
      <c r="BK76" s="106"/>
      <c r="BL76" s="55"/>
      <c r="BM76" s="60">
        <v>3</v>
      </c>
      <c r="BN76" s="139"/>
      <c r="BO76" s="140">
        <v>1</v>
      </c>
      <c r="BP76" s="141">
        <v>0</v>
      </c>
      <c r="BQ76" s="57" t="s">
        <v>304</v>
      </c>
      <c r="BR76" s="4" t="str">
        <f>IF(BP76=99,"",CONCATENATE("10.0.",TEXT(((BITWISE_AND('IP Address (no mod)'!$D$20,BQ$19)/4)+BP76*8+120),"0"),".",TEXT((BITWISE_AND('IP Address (no mod)'!$D$21,BQ$19)*64)+BM$76*10+BO76,"0")))</f>
        <v>10.0.121.223</v>
      </c>
      <c r="BS76" s="100">
        <f>COUNTIF($I$23:$I$111,BR76)+COUNTIF($R$23:$R$111,BR76)+COUNTIF($AA$23:$AA$111,BR76)+COUNTIF($AJ$23:$AJ$111,BR76)+COUNTIF($AQ$23:$AQ$111,BR76)+COUNTIF($AZ$23:$AZ$111,BR76)+COUNTIF($BI$23:$BI$111,BR76)+COUNTIF($BR$23:$BR$111,BR76)+COUNTIF($CA$23:$CA$111,BR76)+COUNTIF($CJ$23:$CJ$111,BR76)+COUNTIF($CS$23:$CS$111,BR76)+COUNTIF($DB$23:$DB$111,BR76)+COUNTIF($DK$23:$DK$111,BR76)+COUNTIF($DT$23:$DT$111,BR76)+COUNTIF($EC$23:$EC$111,BR76)+COUNTIF($EL$23:$EL$111,BR76)-1</f>
        <v>0</v>
      </c>
      <c r="BT76" s="106"/>
      <c r="BU76" s="55"/>
      <c r="BV76" s="60">
        <v>3</v>
      </c>
      <c r="BW76" s="139"/>
      <c r="BX76" s="140">
        <v>1</v>
      </c>
      <c r="BY76" s="141">
        <v>0</v>
      </c>
      <c r="BZ76" s="57" t="s">
        <v>304</v>
      </c>
      <c r="CA76" s="4" t="str">
        <f>IF(BY76=99,"",CONCATENATE("10.0.",TEXT(((BITWISE_AND('IP Address (no mod)'!$D$20,BZ$19)/4)+BY76*8+120),"0"),".",TEXT((BITWISE_AND('IP Address (no mod)'!$D$21,BZ$19)*64)+BV$76*10+BX76,"0")))</f>
        <v>10.0.122.31</v>
      </c>
      <c r="CB76" s="100">
        <f>COUNTIF($I$23:$I$111,CA76)+COUNTIF($R$23:$R$111,CA76)+COUNTIF($AA$23:$AA$111,CA76)+COUNTIF($AJ$23:$AJ$111,CA76)+COUNTIF($AQ$23:$AQ$111,CA76)+COUNTIF($AZ$23:$AZ$111,CA76)+COUNTIF($BI$23:$BI$111,CA76)+COUNTIF($BR$23:$BR$111,CA76)+COUNTIF($CA$23:$CA$111,CA76)+COUNTIF($CJ$23:$CJ$111,CA76)+COUNTIF($CS$23:$CS$111,CA76)+COUNTIF($DB$23:$DB$111,CA76)+COUNTIF($DK$23:$DK$111,CA76)+COUNTIF($DT$23:$DT$111,CA76)+COUNTIF($EC$23:$EC$111,CA76)+COUNTIF($EL$23:$EL$111,CA76)-1</f>
        <v>0</v>
      </c>
      <c r="CC76" s="106"/>
      <c r="CD76" s="55"/>
      <c r="CE76" s="60">
        <v>3</v>
      </c>
      <c r="CF76" s="139"/>
      <c r="CG76" s="140">
        <v>1</v>
      </c>
      <c r="CH76" s="141">
        <v>0</v>
      </c>
      <c r="CI76" s="57" t="s">
        <v>304</v>
      </c>
      <c r="CJ76" s="4" t="str">
        <f>IF(CH76=99,"",CONCATENATE("10.0.",TEXT(((BITWISE_AND('IP Address (no mod)'!$D$20,CI$19)/4)+CH76*8+120),"0"),".",TEXT((BITWISE_AND('IP Address (no mod)'!$D$21,CI$19)*64)+CE$76*10+CG76,"0")))</f>
        <v>10.0.122.95</v>
      </c>
      <c r="CK76" s="100">
        <f>COUNTIF($I$23:$I$111,CJ76)+COUNTIF($R$23:$R$111,CJ76)+COUNTIF($AA$23:$AA$111,CJ76)+COUNTIF($AJ$23:$AJ$111,CJ76)+COUNTIF($AQ$23:$AQ$111,CJ76)+COUNTIF($AZ$23:$AZ$111,CJ76)+COUNTIF($BI$23:$BI$111,CJ76)+COUNTIF($BR$23:$BR$111,CJ76)+COUNTIF($CA$23:$CA$111,CJ76)+COUNTIF($CJ$23:$CJ$111,CJ76)+COUNTIF($CS$23:$CS$111,CJ76)+COUNTIF($DB$23:$DB$111,CJ76)+COUNTIF($DK$23:$DK$111,CJ76)+COUNTIF($DT$23:$DT$111,CJ76)+COUNTIF($EC$23:$EC$111,CJ76)+COUNTIF($EL$23:$EL$111,CJ76)-1</f>
        <v>0</v>
      </c>
      <c r="CL76" s="106"/>
      <c r="CM76" s="55"/>
      <c r="CN76" s="60">
        <v>3</v>
      </c>
      <c r="CO76" s="139"/>
      <c r="CP76" s="140">
        <v>1</v>
      </c>
      <c r="CQ76" s="141">
        <v>0</v>
      </c>
      <c r="CR76" s="57" t="s">
        <v>304</v>
      </c>
      <c r="CS76" s="4" t="str">
        <f>IF(CQ76=99,"",CONCATENATE("10.0.",TEXT(((BITWISE_AND('IP Address (no mod)'!$D$20,CR$19)/4)+CQ76*8+120),"0"),".",TEXT((BITWISE_AND('IP Address (no mod)'!$D$21,CR$19)*64)+CN$76*10+CP76,"0")))</f>
        <v>10.0.122.159</v>
      </c>
      <c r="CT76" s="100">
        <f>COUNTIF($I$23:$I$111,CS76)+COUNTIF($R$23:$R$111,CS76)+COUNTIF($AA$23:$AA$111,CS76)+COUNTIF($AJ$23:$AJ$111,CS76)+COUNTIF($AQ$23:$AQ$111,CS76)+COUNTIF($AZ$23:$AZ$111,CS76)+COUNTIF($BI$23:$BI$111,CS76)+COUNTIF($BR$23:$BR$111,CS76)+COUNTIF($CA$23:$CA$111,CS76)+COUNTIF($CJ$23:$CJ$111,CS76)+COUNTIF($CS$23:$CS$111,CS76)+COUNTIF($DB$23:$DB$111,CS76)+COUNTIF($DK$23:$DK$111,CS76)+COUNTIF($DT$23:$DT$111,CS76)+COUNTIF($EC$23:$EC$111,CS76)+COUNTIF($EL$23:$EL$111,CS76)-1</f>
        <v>0</v>
      </c>
      <c r="CU76" s="106"/>
      <c r="CV76" s="55"/>
      <c r="CW76" s="60">
        <v>3</v>
      </c>
      <c r="CX76" s="139"/>
      <c r="CY76" s="140">
        <v>1</v>
      </c>
      <c r="CZ76" s="141">
        <v>0</v>
      </c>
      <c r="DA76" s="57" t="s">
        <v>304</v>
      </c>
      <c r="DB76" s="4" t="str">
        <f>IF(CZ76=99,"",CONCATENATE("10.0.",TEXT(((BITWISE_AND('IP Address (no mod)'!$D$20,DA$19)/4)+CZ76*8+120),"0"),".",TEXT((BITWISE_AND('IP Address (no mod)'!$D$21,DA$19)*64)+CW$76*10+CY76,"0")))</f>
        <v>10.0.122.223</v>
      </c>
      <c r="DC76" s="100">
        <f>COUNTIF($I$23:$I$111,DB76)+COUNTIF($R$23:$R$111,DB76)+COUNTIF($AA$23:$AA$111,DB76)+COUNTIF($AJ$23:$AJ$111,DB76)+COUNTIF($AQ$23:$AQ$111,DB76)+COUNTIF($AZ$23:$AZ$111,DB76)+COUNTIF($BI$23:$BI$111,DB76)+COUNTIF($BR$23:$BR$111,DB76)+COUNTIF($CA$23:$CA$111,DB76)+COUNTIF($CJ$23:$CJ$111,DB76)+COUNTIF($CS$23:$CS$111,DB76)+COUNTIF($DB$23:$DB$111,DB76)+COUNTIF($DK$23:$DK$111,DB76)+COUNTIF($DT$23:$DT$111,DB76)+COUNTIF($EC$23:$EC$111,DB76)+COUNTIF($EL$23:$EL$111,DB76)-1</f>
        <v>0</v>
      </c>
      <c r="DD76" s="106"/>
      <c r="DE76" s="55"/>
      <c r="DF76" s="60">
        <v>3</v>
      </c>
      <c r="DG76" s="139"/>
      <c r="DH76" s="140">
        <v>1</v>
      </c>
      <c r="DI76" s="141">
        <v>0</v>
      </c>
      <c r="DJ76" s="57" t="s">
        <v>304</v>
      </c>
      <c r="DK76" s="4" t="str">
        <f>IF(DI76=99,"",CONCATENATE("10.0.",TEXT(((BITWISE_AND('IP Address (no mod)'!$D$20,DJ$19)/4)+DI76*8+120),"0"),".",TEXT((BITWISE_AND('IP Address (no mod)'!$D$21,DJ$19)*64)+DF$76*10+DH76,"0")))</f>
        <v>10.0.123.31</v>
      </c>
      <c r="DL76" s="100">
        <f>COUNTIF($I$23:$I$111,DK76)+COUNTIF($R$23:$R$111,DK76)+COUNTIF($AA$23:$AA$111,DK76)+COUNTIF($AJ$23:$AJ$111,DK76)+COUNTIF($AQ$23:$AQ$111,DK76)+COUNTIF($AZ$23:$AZ$111,DK76)+COUNTIF($BI$23:$BI$111,DK76)+COUNTIF($BR$23:$BR$111,DK76)+COUNTIF($CA$23:$CA$111,DK76)+COUNTIF($CJ$23:$CJ$111,DK76)+COUNTIF($CS$23:$CS$111,DK76)+COUNTIF($DB$23:$DB$111,DK76)+COUNTIF($DK$23:$DK$111,DK76)+COUNTIF($DT$23:$DT$111,DK76)+COUNTIF($EC$23:$EC$111,DK76)+COUNTIF($EL$23:$EL$111,DK76)-1</f>
        <v>0</v>
      </c>
      <c r="DM76" s="106"/>
      <c r="DN76" s="55"/>
      <c r="DO76" s="60">
        <v>3</v>
      </c>
      <c r="DP76" s="139"/>
      <c r="DQ76" s="140">
        <v>1</v>
      </c>
      <c r="DR76" s="141">
        <v>0</v>
      </c>
      <c r="DS76" s="57" t="s">
        <v>304</v>
      </c>
      <c r="DT76" s="4" t="str">
        <f>IF(DR76=99,"",CONCATENATE("10.0.",TEXT(((BITWISE_AND('IP Address (no mod)'!$D$20,DS$19)/4)+DR76*8+120),"0"),".",TEXT((BITWISE_AND('IP Address (no mod)'!$D$21,DS$19)*64)+DO$76*10+DQ76,"0")))</f>
        <v>10.0.123.95</v>
      </c>
      <c r="DU76" s="100">
        <f>COUNTIF($I$23:$I$111,DT76)+COUNTIF($R$23:$R$111,DT76)+COUNTIF($AA$23:$AA$111,DT76)+COUNTIF($AJ$23:$AJ$111,DT76)+COUNTIF($AQ$23:$AQ$111,DT76)+COUNTIF($AZ$23:$AZ$111,DT76)+COUNTIF($BI$23:$BI$111,DT76)+COUNTIF($BR$23:$BR$111,DT76)+COUNTIF($CA$23:$CA$111,DT76)+COUNTIF($CJ$23:$CJ$111,DT76)+COUNTIF($CS$23:$CS$111,DT76)+COUNTIF($DB$23:$DB$111,DT76)+COUNTIF($DK$23:$DK$111,DT76)+COUNTIF($DT$23:$DT$111,DT76)+COUNTIF($EC$23:$EC$111,DT76)+COUNTIF($EL$23:$EL$111,DT76)-1</f>
        <v>0</v>
      </c>
      <c r="DV76" s="98"/>
      <c r="DW76" s="55"/>
      <c r="DX76" s="60">
        <v>3</v>
      </c>
      <c r="DY76" s="139"/>
      <c r="DZ76" s="140">
        <v>1</v>
      </c>
      <c r="EA76" s="141">
        <v>0</v>
      </c>
      <c r="EB76" s="57" t="s">
        <v>304</v>
      </c>
      <c r="EC76" s="4" t="str">
        <f>IF(EA76=99,"",CONCATENATE("10.0.",TEXT(((BITWISE_AND('IP Address (no mod)'!$D$20,EB$19)/4)+EA76*8+120),"0"),".",TEXT((BITWISE_AND('IP Address (no mod)'!$D$21,EB$19)*64)+DX$76*10+DZ76,"0")))</f>
        <v>10.0.123.159</v>
      </c>
      <c r="ED76" s="100">
        <f>COUNTIF($I$23:$I$111,EC76)+COUNTIF($R$23:$R$111,EC76)+COUNTIF($AA$23:$AA$111,EC76)+COUNTIF($AJ$23:$AJ$111,EC76)+COUNTIF($AQ$23:$AQ$111,EC76)+COUNTIF($AZ$23:$AZ$111,EC76)+COUNTIF($BI$23:$BI$111,EC76)+COUNTIF($BR$23:$BR$111,EC76)+COUNTIF($CA$23:$CA$111,EC76)+COUNTIF($CJ$23:$CJ$111,EC76)+COUNTIF($CS$23:$CS$111,EC76)+COUNTIF($DB$23:$DB$111,EC76)+COUNTIF($DK$23:$DK$111,EC76)+COUNTIF($DT$23:$DT$111,EC76)+COUNTIF($EC$23:$EC$111,EC76)+COUNTIF($EL$23:$EL$111,EC76)-1</f>
        <v>0</v>
      </c>
      <c r="EE76" s="106"/>
      <c r="EF76" s="55"/>
      <c r="EG76" s="60">
        <v>3</v>
      </c>
      <c r="EH76" s="139"/>
      <c r="EI76" s="140">
        <v>1</v>
      </c>
      <c r="EJ76" s="141">
        <v>0</v>
      </c>
      <c r="EK76" s="57" t="s">
        <v>305</v>
      </c>
      <c r="EL76" s="4" t="str">
        <f>IF(EJ76=99,"",CONCATENATE("10.0.",TEXT(((BITWISE_AND('IP Address (no mod)'!$D$20,EK$19)/4)+EJ76*8+120),"0"),".",TEXT((BITWISE_AND('IP Address (no mod)'!$D$21,EK$19)*64)+EG$76*10+EI76,"0")))</f>
        <v>10.0.123.223</v>
      </c>
      <c r="EM76" s="100">
        <f>COUNTIF($I$23:$I$111,EL76)+COUNTIF($R$23:$R$111,EL76)+COUNTIF($AA$23:$AA$111,EL76)+COUNTIF($AJ$23:$AJ$111,EL76)+COUNTIF($AQ$23:$AQ$111,EL76)+COUNTIF($AZ$23:$AZ$111,EL76)+COUNTIF($BI$23:$BI$111,EL76)+COUNTIF($BR$23:$BR$111,EL76)+COUNTIF($CA$23:$CA$111,EL76)+COUNTIF($CJ$23:$CJ$111,EL76)+COUNTIF($CS$23:$CS$111,EL76)+COUNTIF($DB$23:$DB$111,EL76)+COUNTIF($DK$23:$DK$111,EL76)+COUNTIF($DT$23:$DT$111,EL76)+COUNTIF($EC$23:$EC$111,EL76)+COUNTIF($EL$23:$EL$111,EL76)-1</f>
        <v>0</v>
      </c>
      <c r="EN76" s="107"/>
    </row>
    <row r="77" spans="1:144" ht="14.45" customHeight="1">
      <c r="A77" s="322"/>
      <c r="B77" s="102"/>
      <c r="C77" s="55"/>
      <c r="D77" s="329" t="s">
        <v>305</v>
      </c>
      <c r="E77" s="61" t="s">
        <v>241</v>
      </c>
      <c r="F77" s="61">
        <v>0</v>
      </c>
      <c r="G77" s="61">
        <v>99</v>
      </c>
      <c r="H77" s="62"/>
      <c r="I77" s="4" t="str">
        <f>IF(G77=99,"",CONCATENATE("10.0.",TEXT(((BITWISE_AND('IP Address (no mod)'!$D$20,H$19)/4)+G77*8),"0"),".",TEXT((BITWISE_AND('IP Address (no mod)'!$D$21,H$19)*64)+D$76*10+F77,"0")))</f>
        <v/>
      </c>
      <c r="J77" s="100">
        <f t="shared" ref="J77:J111" si="47">IF(I77="",0,COUNTIF($I$23:$I$111,I77)+COUNTIF($R$23:$R$111,I77)+COUNTIF($AA$23:$AA$111,I77)+COUNTIF($AJ$23:$AJ$111,I77)+COUNTIF($AQ$23:$AQ$111,I77)+COUNTIF($AZ$23:$AZ$111,I77)+COUNTIF($BI$23:$BI$111,I77)+COUNTIF($BR$23:$BR$111,I77)+COUNTIF($CA$23:$CA$111,I77)+COUNTIF($CJ$23:$CJ$111,I77)+COUNTIF($CS$23:$CS$111,I77)+COUNTIF($DB$23:$DB$111,I77)+COUNTIF($DK$23:$DK$111,I77)+COUNTIF($DT$23:$DT$111,I77)+COUNTIF($EC$23:$EC$111,I77)+COUNTIF($EL$23:$EL$111,I77)-1)</f>
        <v>0</v>
      </c>
      <c r="K77" s="106"/>
      <c r="L77" s="55"/>
      <c r="M77" s="329" t="s">
        <v>304</v>
      </c>
      <c r="N77" s="61" t="s">
        <v>241</v>
      </c>
      <c r="O77" s="61">
        <v>0</v>
      </c>
      <c r="P77" s="61">
        <v>5</v>
      </c>
      <c r="Q77" s="62" t="s">
        <v>319</v>
      </c>
      <c r="R77" s="14" t="str">
        <f>IF(P77=99,"",CONCATENATE("10.0.",TEXT(((BITWISE_AND('IP Address (no mod)'!$D$20,Q$19)/4)+P77*8),"0"),".",TEXT((BITWISE_AND('IP Address (no mod)'!$D$21,Q$19)*64)+M$76*10+O77,"0")))</f>
        <v>10.0.40.158</v>
      </c>
      <c r="S77" s="100">
        <f t="shared" ref="S77:S86" si="48">IF(R77="",0,COUNTIF($I$23:$I$111,R77)+COUNTIF($R$23:$R$111,R77)+COUNTIF($AA$23:$AA$111,R77)+COUNTIF($AJ$23:$AJ$111,R77)+COUNTIF($AQ$23:$AQ$111,R77)+COUNTIF($AZ$23:$AZ$111,R77)+COUNTIF($BI$23:$BI$111,R77)+COUNTIF($BR$23:$BR$111,R77)+COUNTIF($CA$23:$CA$111,R77)+COUNTIF($CJ$23:$CJ$111,R77)+COUNTIF($CS$23:$CS$111,R77)+COUNTIF($DB$23:$DB$111,R77)+COUNTIF($DK$23:$DK$111,R77)+COUNTIF($DT$23:$DT$111,R77)+COUNTIF($EC$23:$EC$111,R77)+COUNTIF($EL$23:$EL$111,R77)-1)</f>
        <v>0</v>
      </c>
      <c r="T77" s="106"/>
      <c r="U77" s="55"/>
      <c r="V77" s="329" t="s">
        <v>304</v>
      </c>
      <c r="W77" s="61" t="s">
        <v>241</v>
      </c>
      <c r="X77" s="61">
        <v>0</v>
      </c>
      <c r="Y77" s="61">
        <v>5</v>
      </c>
      <c r="Z77" s="64" t="s">
        <v>306</v>
      </c>
      <c r="AA77" s="14" t="str">
        <f>IF(Y77=99,"",CONCATENATE("10.0.",TEXT(((BITWISE_AND('IP Address (no mod)'!$D$20,Z$19)/4)+Y77*8),"0"),".",TEXT((BITWISE_AND('IP Address (no mod)'!$D$21,Z$19)*64)+V$76*10+X77,"0")))</f>
        <v>10.0.40.222</v>
      </c>
      <c r="AB77" s="100">
        <f t="shared" ref="AB77:AB86" si="49">IF(AA77="",0,COUNTIF($I$23:$I$111,AA77)+COUNTIF($R$23:$R$111,AA77)+COUNTIF($AA$23:$AA$111,AA77)+COUNTIF($AJ$23:$AJ$111,AA77)+COUNTIF($AQ$23:$AQ$111,AA77)+COUNTIF($AZ$23:$AZ$111,AA77)+COUNTIF($BI$23:$BI$111,AA77)+COUNTIF($BR$23:$BR$111,AA77)+COUNTIF($CA$23:$CA$111,AA77)+COUNTIF($CJ$23:$CJ$111,AA77)+COUNTIF($CS$23:$CS$111,AA77)+COUNTIF($DB$23:$DB$111,AA77)+COUNTIF($DK$23:$DK$111,AA77)+COUNTIF($DT$23:$DT$111,AA77)+COUNTIF($EC$23:$EC$111,AA77)+COUNTIF($EL$23:$EL$111,AA77)-1)</f>
        <v>0</v>
      </c>
      <c r="AC77" s="106"/>
      <c r="AD77" s="55"/>
      <c r="AE77" s="329" t="s">
        <v>304</v>
      </c>
      <c r="AF77" s="61" t="s">
        <v>241</v>
      </c>
      <c r="AG77" s="61">
        <v>0</v>
      </c>
      <c r="AH77" s="61">
        <v>5</v>
      </c>
      <c r="AI77" s="62" t="s">
        <v>306</v>
      </c>
      <c r="AJ77" s="14" t="str">
        <f>IF(AH77=99,"",CONCATENATE("10.0.",TEXT(((BITWISE_AND('IP Address (no mod)'!$D$20,AI$19)/4)+AH77*8),"0"),".",TEXT((BITWISE_AND('IP Address (no mod)'!$D$21,AI$19)*64)+AE$76*10+AG77,"0")))</f>
        <v>10.0.45.158</v>
      </c>
      <c r="AK77" s="100">
        <f t="shared" ref="AK77:AK86" si="50">IF(AJ77="",0,COUNTIF($I$23:$I$111,AJ77)+COUNTIF($R$23:$R$111,AJ77)+COUNTIF($AA$23:$AA$111,AJ77)+COUNTIF($AJ$23:$AJ$111,AJ77)+COUNTIF($AQ$23:$AQ$111,AJ77)+COUNTIF($AZ$23:$AZ$111,AJ77)+COUNTIF($BI$23:$BI$111,AJ77)+COUNTIF($BR$23:$BR$111,AJ77)+COUNTIF($CA$23:$CA$111,AJ77)+COUNTIF($CJ$23:$CJ$111,AJ77)+COUNTIF($CS$23:$CS$111,AJ77)+COUNTIF($DB$23:$DB$111,AJ77)+COUNTIF($DK$23:$DK$111,AJ77)+COUNTIF($DT$23:$DT$111,AJ77)+COUNTIF($EC$23:$EC$111,AJ77)+COUNTIF($EL$23:$EL$111,AJ77)-1)</f>
        <v>0</v>
      </c>
      <c r="AL77" s="66"/>
      <c r="AM77" s="66"/>
      <c r="AN77" s="66"/>
      <c r="AO77" s="66"/>
      <c r="AP77" s="66"/>
      <c r="AQ77" s="66"/>
      <c r="AR77" s="59"/>
      <c r="AS77" s="106"/>
      <c r="AT77" s="55"/>
      <c r="AU77" s="329" t="s">
        <v>304</v>
      </c>
      <c r="AV77" s="61" t="s">
        <v>241</v>
      </c>
      <c r="AW77" s="61">
        <v>0</v>
      </c>
      <c r="AX77" s="61">
        <v>5</v>
      </c>
      <c r="AY77" s="64" t="s">
        <v>306</v>
      </c>
      <c r="AZ77" s="14" t="str">
        <f>IF(AX77=99,"",CONCATENATE("10.0.",TEXT(((BITWISE_AND('IP Address (no mod)'!$D$20,AY$19)/4)+AX77*8),"0"),".",TEXT((BITWISE_AND('IP Address (no mod)'!$D$21,AY$19)*64)+AU$76*10+AW77,"0")))</f>
        <v>10.0.41.94</v>
      </c>
      <c r="BA77" s="100">
        <f t="shared" ref="BA77:BA86" si="51">IF(AZ77="",0,COUNTIF($I$23:$I$111,AZ77)+COUNTIF($R$23:$R$111,AZ77)+COUNTIF($AA$23:$AA$111,AZ77)+COUNTIF($AJ$23:$AJ$111,AZ77)+COUNTIF($AQ$23:$AQ$111,AZ77)+COUNTIF($AZ$23:$AZ$111,AZ77)+COUNTIF($BI$23:$BI$111,AZ77)+COUNTIF($BR$23:$BR$111,AZ77)+COUNTIF($CA$23:$CA$111,AZ77)+COUNTIF($CJ$23:$CJ$111,AZ77)+COUNTIF($CS$23:$CS$111,AZ77)+COUNTIF($DB$23:$DB$111,AZ77)+COUNTIF($DK$23:$DK$111,AZ77)+COUNTIF($DT$23:$DT$111,AZ77)+COUNTIF($EC$23:$EC$111,AZ77)+COUNTIF($EL$23:$EL$111,AZ77)-1)</f>
        <v>0</v>
      </c>
      <c r="BB77" s="106"/>
      <c r="BC77" s="55"/>
      <c r="BD77" s="329" t="s">
        <v>304</v>
      </c>
      <c r="BE77" s="61" t="s">
        <v>241</v>
      </c>
      <c r="BF77" s="61">
        <v>0</v>
      </c>
      <c r="BG77" s="61">
        <v>5</v>
      </c>
      <c r="BH77" s="62" t="s">
        <v>319</v>
      </c>
      <c r="BI77" s="14" t="str">
        <f>IF(BG77=99,"",CONCATENATE("10.0.",TEXT(((BITWISE_AND('IP Address (no mod)'!$D$20,BH$19)/4)+BG77*8),"0"),".",TEXT((BITWISE_AND('IP Address (no mod)'!$D$21,BH$19)*64)+BD$76*10+BF77,"0")))</f>
        <v>10.0.41.158</v>
      </c>
      <c r="BJ77" s="100">
        <f t="shared" ref="BJ77:BJ86" si="52">IF(BI77="",0,COUNTIF($I$23:$I$111,BI77)+COUNTIF($R$23:$R$111,BI77)+COUNTIF($AA$23:$AA$111,BI77)+COUNTIF($AJ$23:$AJ$111,BI77)+COUNTIF($AQ$23:$AQ$111,BI77)+COUNTIF($AZ$23:$AZ$111,BI77)+COUNTIF($BI$23:$BI$111,BI77)+COUNTIF($BR$23:$BR$111,BI77)+COUNTIF($CA$23:$CA$111,BI77)+COUNTIF($CJ$23:$CJ$111,BI77)+COUNTIF($CS$23:$CS$111,BI77)+COUNTIF($DB$23:$DB$111,BI77)+COUNTIF($DK$23:$DK$111,BI77)+COUNTIF($DT$23:$DT$111,BI77)+COUNTIF($EC$23:$EC$111,BI77)+COUNTIF($EL$23:$EL$111,BI77)-1)</f>
        <v>0</v>
      </c>
      <c r="BK77" s="106"/>
      <c r="BL77" s="55"/>
      <c r="BM77" s="329" t="s">
        <v>304</v>
      </c>
      <c r="BN77" s="61" t="s">
        <v>241</v>
      </c>
      <c r="BO77" s="61">
        <v>0</v>
      </c>
      <c r="BP77" s="61">
        <v>5</v>
      </c>
      <c r="BQ77" s="64" t="s">
        <v>306</v>
      </c>
      <c r="BR77" s="14" t="str">
        <f>IF(BP77=99,"",CONCATENATE("10.0.",TEXT(((BITWISE_AND('IP Address (no mod)'!$D$20,BQ$19)/4)+BP77*8),"0"),".",TEXT((BITWISE_AND('IP Address (no mod)'!$D$21,BQ$19)*64)+BM$76*10+BO77,"0")))</f>
        <v>10.0.41.222</v>
      </c>
      <c r="BS77" s="100">
        <f t="shared" ref="BS77:BS86" si="53">IF(BR77="",0,COUNTIF($I$23:$I$111,BR77)+COUNTIF($R$23:$R$111,BR77)+COUNTIF($AA$23:$AA$111,BR77)+COUNTIF($AJ$23:$AJ$111,BR77)+COUNTIF($AQ$23:$AQ$111,BR77)+COUNTIF($AZ$23:$AZ$111,BR77)+COUNTIF($BI$23:$BI$111,BR77)+COUNTIF($BR$23:$BR$111,BR77)+COUNTIF($CA$23:$CA$111,BR77)+COUNTIF($CJ$23:$CJ$111,BR77)+COUNTIF($CS$23:$CS$111,BR77)+COUNTIF($DB$23:$DB$111,BR77)+COUNTIF($DK$23:$DK$111,BR77)+COUNTIF($DT$23:$DT$111,BR77)+COUNTIF($EC$23:$EC$111,BR77)+COUNTIF($EL$23:$EL$111,BR77)-1)</f>
        <v>0</v>
      </c>
      <c r="BT77" s="106"/>
      <c r="BU77" s="55"/>
      <c r="BV77" s="329" t="s">
        <v>304</v>
      </c>
      <c r="BW77" s="61" t="s">
        <v>241</v>
      </c>
      <c r="BX77" s="61">
        <v>0</v>
      </c>
      <c r="BY77" s="61">
        <v>5</v>
      </c>
      <c r="BZ77" s="62" t="s">
        <v>319</v>
      </c>
      <c r="CA77" s="14" t="str">
        <f>IF(BY77=99,"",CONCATENATE("10.0.",TEXT(((BITWISE_AND('IP Address (no mod)'!$D$20,BZ$19)/4)+BY77*8),"0"),".",TEXT((BITWISE_AND('IP Address (no mod)'!$D$21,BZ$19)*64)+BV$76*10+BX77,"0")))</f>
        <v>10.0.42.30</v>
      </c>
      <c r="CB77" s="100">
        <f t="shared" ref="CB77:CB86" si="54">IF(CA77="",0,COUNTIF($I$23:$I$111,CA77)+COUNTIF($R$23:$R$111,CA77)+COUNTIF($AA$23:$AA$111,CA77)+COUNTIF($AJ$23:$AJ$111,CA77)+COUNTIF($AQ$23:$AQ$111,CA77)+COUNTIF($AZ$23:$AZ$111,CA77)+COUNTIF($BI$23:$BI$111,CA77)+COUNTIF($BR$23:$BR$111,CA77)+COUNTIF($CA$23:$CA$111,CA77)+COUNTIF($CJ$23:$CJ$111,CA77)+COUNTIF($CS$23:$CS$111,CA77)+COUNTIF($DB$23:$DB$111,CA77)+COUNTIF($DK$23:$DK$111,CA77)+COUNTIF($DT$23:$DT$111,CA77)+COUNTIF($EC$23:$EC$111,CA77)+COUNTIF($EL$23:$EL$111,CA77)-1)</f>
        <v>0</v>
      </c>
      <c r="CC77" s="106"/>
      <c r="CD77" s="55"/>
      <c r="CE77" s="329" t="s">
        <v>304</v>
      </c>
      <c r="CF77" s="61" t="s">
        <v>241</v>
      </c>
      <c r="CG77" s="61">
        <v>0</v>
      </c>
      <c r="CH77" s="61">
        <v>5</v>
      </c>
      <c r="CI77" s="64" t="s">
        <v>306</v>
      </c>
      <c r="CJ77" s="14" t="str">
        <f>IF(CH77=99,"",CONCATENATE("10.0.",TEXT(((BITWISE_AND('IP Address (no mod)'!$D$20,CI$19)/4)+CH77*8),"0"),".",TEXT((BITWISE_AND('IP Address (no mod)'!$D$21,CI$19)*64)+CE$76*10+CG77,"0")))</f>
        <v>10.0.42.94</v>
      </c>
      <c r="CK77" s="100">
        <f t="shared" ref="CK77:CK86" si="55">IF(CJ77="",0,COUNTIF($I$23:$I$111,CJ77)+COUNTIF($R$23:$R$111,CJ77)+COUNTIF($AA$23:$AA$111,CJ77)+COUNTIF($AJ$23:$AJ$111,CJ77)+COUNTIF($AQ$23:$AQ$111,CJ77)+COUNTIF($AZ$23:$AZ$111,CJ77)+COUNTIF($BI$23:$BI$111,CJ77)+COUNTIF($BR$23:$BR$111,CJ77)+COUNTIF($CA$23:$CA$111,CJ77)+COUNTIF($CJ$23:$CJ$111,CJ77)+COUNTIF($CS$23:$CS$111,CJ77)+COUNTIF($DB$23:$DB$111,CJ77)+COUNTIF($DK$23:$DK$111,CJ77)+COUNTIF($DT$23:$DT$111,CJ77)+COUNTIF($EC$23:$EC$111,CJ77)+COUNTIF($EL$23:$EL$111,CJ77)-1)</f>
        <v>0</v>
      </c>
      <c r="CL77" s="106"/>
      <c r="CM77" s="55"/>
      <c r="CN77" s="329" t="s">
        <v>304</v>
      </c>
      <c r="CO77" s="61" t="s">
        <v>241</v>
      </c>
      <c r="CP77" s="61">
        <v>0</v>
      </c>
      <c r="CQ77" s="61">
        <v>5</v>
      </c>
      <c r="CR77" s="62" t="s">
        <v>319</v>
      </c>
      <c r="CS77" s="14" t="str">
        <f>IF(CQ77=99,"",CONCATENATE("10.0.",TEXT(((BITWISE_AND('IP Address (no mod)'!$D$20,CR$19)/4)+CQ77*8),"0"),".",TEXT((BITWISE_AND('IP Address (no mod)'!$D$21,CR$19)*64)+CN$76*10+CP77,"0")))</f>
        <v>10.0.42.158</v>
      </c>
      <c r="CT77" s="100">
        <f t="shared" ref="CT77:CT86" si="56">IF(CS77="",0,COUNTIF($I$23:$I$111,CS77)+COUNTIF($R$23:$R$111,CS77)+COUNTIF($AA$23:$AA$111,CS77)+COUNTIF($AJ$23:$AJ$111,CS77)+COUNTIF($AQ$23:$AQ$111,CS77)+COUNTIF($AZ$23:$AZ$111,CS77)+COUNTIF($BI$23:$BI$111,CS77)+COUNTIF($BR$23:$BR$111,CS77)+COUNTIF($CA$23:$CA$111,CS77)+COUNTIF($CJ$23:$CJ$111,CS77)+COUNTIF($CS$23:$CS$111,CS77)+COUNTIF($DB$23:$DB$111,CS77)+COUNTIF($DK$23:$DK$111,CS77)+COUNTIF($DT$23:$DT$111,CS77)+COUNTIF($EC$23:$EC$111,CS77)+COUNTIF($EL$23:$EL$111,CS77)-1)</f>
        <v>0</v>
      </c>
      <c r="CU77" s="106"/>
      <c r="CV77" s="55"/>
      <c r="CW77" s="329" t="s">
        <v>304</v>
      </c>
      <c r="CX77" s="61" t="s">
        <v>241</v>
      </c>
      <c r="CY77" s="61">
        <v>0</v>
      </c>
      <c r="CZ77" s="61">
        <v>5</v>
      </c>
      <c r="DA77" s="64" t="s">
        <v>306</v>
      </c>
      <c r="DB77" s="14" t="str">
        <f>IF(CZ77=99,"",CONCATENATE("10.0.",TEXT(((BITWISE_AND('IP Address (no mod)'!$D$20,DA$19)/4)+CZ77*8),"0"),".",TEXT((BITWISE_AND('IP Address (no mod)'!$D$21,DA$19)*64)+CW$76*10+CY77,"0")))</f>
        <v>10.0.42.222</v>
      </c>
      <c r="DC77" s="100">
        <f t="shared" ref="DC77:DC86" si="57">IF(DB77="",0,COUNTIF($I$23:$I$111,DB77)+COUNTIF($R$23:$R$111,DB77)+COUNTIF($AA$23:$AA$111,DB77)+COUNTIF($AJ$23:$AJ$111,DB77)+COUNTIF($AQ$23:$AQ$111,DB77)+COUNTIF($AZ$23:$AZ$111,DB77)+COUNTIF($BI$23:$BI$111,DB77)+COUNTIF($BR$23:$BR$111,DB77)+COUNTIF($CA$23:$CA$111,DB77)+COUNTIF($CJ$23:$CJ$111,DB77)+COUNTIF($CS$23:$CS$111,DB77)+COUNTIF($DB$23:$DB$111,DB77)+COUNTIF($DK$23:$DK$111,DB77)+COUNTIF($DT$23:$DT$111,DB77)+COUNTIF($EC$23:$EC$111,DB77)+COUNTIF($EL$23:$EL$111,DB77)-1)</f>
        <v>0</v>
      </c>
      <c r="DD77" s="106"/>
      <c r="DE77" s="55"/>
      <c r="DF77" s="329" t="s">
        <v>304</v>
      </c>
      <c r="DG77" s="61" t="s">
        <v>241</v>
      </c>
      <c r="DH77" s="61">
        <v>0</v>
      </c>
      <c r="DI77" s="61">
        <v>5</v>
      </c>
      <c r="DJ77" s="62" t="s">
        <v>319</v>
      </c>
      <c r="DK77" s="14" t="str">
        <f>IF(DI77=99,"",CONCATENATE("10.0.",TEXT(((BITWISE_AND('IP Address (no mod)'!$D$20,DJ$19)/4)+DI77*8),"0"),".",TEXT((BITWISE_AND('IP Address (no mod)'!$D$21,DJ$19)*64)+DF$76*10+DH77,"0")))</f>
        <v>10.0.43.30</v>
      </c>
      <c r="DL77" s="100">
        <f t="shared" ref="DL77:DL86" si="58">IF(DK77="",0,COUNTIF($I$23:$I$111,DK77)+COUNTIF($R$23:$R$111,DK77)+COUNTIF($AA$23:$AA$111,DK77)+COUNTIF($AJ$23:$AJ$111,DK77)+COUNTIF($AQ$23:$AQ$111,DK77)+COUNTIF($AZ$23:$AZ$111,DK77)+COUNTIF($BI$23:$BI$111,DK77)+COUNTIF($BR$23:$BR$111,DK77)+COUNTIF($CA$23:$CA$111,DK77)+COUNTIF($CJ$23:$CJ$111,DK77)+COUNTIF($CS$23:$CS$111,DK77)+COUNTIF($DB$23:$DB$111,DK77)+COUNTIF($DK$23:$DK$111,DK77)+COUNTIF($DT$23:$DT$111,DK77)+COUNTIF($EC$23:$EC$111,DK77)+COUNTIF($EL$23:$EL$111,DK77)-1)</f>
        <v>0</v>
      </c>
      <c r="DM77" s="106"/>
      <c r="DN77" s="55"/>
      <c r="DO77" s="329" t="s">
        <v>304</v>
      </c>
      <c r="DP77" s="61" t="s">
        <v>241</v>
      </c>
      <c r="DQ77" s="61">
        <v>0</v>
      </c>
      <c r="DR77" s="61">
        <v>5</v>
      </c>
      <c r="DS77" s="64" t="s">
        <v>306</v>
      </c>
      <c r="DT77" s="14" t="str">
        <f>IF(DR77=99,"",CONCATENATE("10.0.",TEXT(((BITWISE_AND('IP Address (no mod)'!$D$20,DS$19)/4)+DR77*8),"0"),".",TEXT((BITWISE_AND('IP Address (no mod)'!$D$21,DS$19)*64)+DO$76*10+DQ77,"0")))</f>
        <v>10.0.43.94</v>
      </c>
      <c r="DU77" s="100">
        <f t="shared" ref="DU77:DU86" si="59">IF(DT77="",0,COUNTIF($I$23:$I$111,DT77)+COUNTIF($R$23:$R$111,DT77)+COUNTIF($AA$23:$AA$111,DT77)+COUNTIF($AJ$23:$AJ$111,DT77)+COUNTIF($AQ$23:$AQ$111,DT77)+COUNTIF($AZ$23:$AZ$111,DT77)+COUNTIF($BI$23:$BI$111,DT77)+COUNTIF($BR$23:$BR$111,DT77)+COUNTIF($CA$23:$CA$111,DT77)+COUNTIF($CJ$23:$CJ$111,DT77)+COUNTIF($CS$23:$CS$111,DT77)+COUNTIF($DB$23:$DB$111,DT77)+COUNTIF($DK$23:$DK$111,DT77)+COUNTIF($DT$23:$DT$111,DT77)+COUNTIF($EC$23:$EC$111,DT77)+COUNTIF($EL$23:$EL$111,DT77)-1)</f>
        <v>0</v>
      </c>
      <c r="DV77" s="98"/>
      <c r="DW77" s="55"/>
      <c r="DX77" s="329" t="s">
        <v>304</v>
      </c>
      <c r="DY77" s="61" t="s">
        <v>241</v>
      </c>
      <c r="DZ77" s="61">
        <v>0</v>
      </c>
      <c r="EA77" s="61">
        <v>5</v>
      </c>
      <c r="EB77" s="62" t="s">
        <v>319</v>
      </c>
      <c r="EC77" s="14" t="str">
        <f>IF(EA77=99,"",CONCATENATE("10.0.",TEXT(((BITWISE_AND('IP Address (no mod)'!$D$20,EB$19)/4)+EA77*8),"0"),".",TEXT((BITWISE_AND('IP Address (no mod)'!$D$21,EB$19)*64)+DX$76*10+DZ77,"0")))</f>
        <v>10.0.43.158</v>
      </c>
      <c r="ED77" s="100">
        <f t="shared" ref="ED77:ED86" si="60">IF(EC77="",0,COUNTIF($I$23:$I$111,EC77)+COUNTIF($R$23:$R$111,EC77)+COUNTIF($AA$23:$AA$111,EC77)+COUNTIF($AJ$23:$AJ$111,EC77)+COUNTIF($AQ$23:$AQ$111,EC77)+COUNTIF($AZ$23:$AZ$111,EC77)+COUNTIF($BI$23:$BI$111,EC77)+COUNTIF($BR$23:$BR$111,EC77)+COUNTIF($CA$23:$CA$111,EC77)+COUNTIF($CJ$23:$CJ$111,EC77)+COUNTIF($CS$23:$CS$111,EC77)+COUNTIF($DB$23:$DB$111,EC77)+COUNTIF($DK$23:$DK$111,EC77)+COUNTIF($DT$23:$DT$111,EC77)+COUNTIF($EC$23:$EC$111,EC77)+COUNTIF($EL$23:$EL$111,EC77)-1)</f>
        <v>0</v>
      </c>
      <c r="EE77" s="106"/>
      <c r="EF77" s="55"/>
      <c r="EG77" s="329" t="s">
        <v>305</v>
      </c>
      <c r="EH77" s="61" t="s">
        <v>241</v>
      </c>
      <c r="EI77" s="61">
        <v>0</v>
      </c>
      <c r="EJ77" s="61">
        <v>99</v>
      </c>
      <c r="EK77" s="62"/>
      <c r="EL77" s="4" t="str">
        <f>IF(EJ77=99,"",CONCATENATE("10.0.",TEXT(((BITWISE_AND('IP Address (no mod)'!$D$20,EK$19)/4)+EJ77*8),"0"),".",TEXT((BITWISE_AND('IP Address (no mod)'!$D$21,EK$19)*64)+EG$76*10+EI77,"0")))</f>
        <v/>
      </c>
      <c r="EM77" s="100">
        <f t="shared" ref="EM77:EM111" si="61">IF(EL77="",0,COUNTIF($I$23:$I$111,EL77)+COUNTIF($R$23:$R$111,EL77)+COUNTIF($AA$23:$AA$111,EL77)+COUNTIF($AJ$23:$AJ$111,EL77)+COUNTIF($AQ$23:$AQ$111,EL77)+COUNTIF($AZ$23:$AZ$111,EL77)+COUNTIF($BI$23:$BI$111,EL77)+COUNTIF($BR$23:$BR$111,EL77)+COUNTIF($CA$23:$CA$111,EL77)+COUNTIF($CJ$23:$CJ$111,EL77)+COUNTIF($CS$23:$CS$111,EL77)+COUNTIF($DB$23:$DB$111,EL77)+COUNTIF($DK$23:$DK$111,EL77)+COUNTIF($DT$23:$DT$111,EL77)+COUNTIF($EC$23:$EC$111,EL77)+COUNTIF($EL$23:$EL$111,EL77)-1)</f>
        <v>0</v>
      </c>
      <c r="EN77" s="107"/>
    </row>
    <row r="78" spans="1:144" ht="15" customHeight="1">
      <c r="A78" s="322"/>
      <c r="B78" s="102"/>
      <c r="C78" s="55"/>
      <c r="D78" s="330"/>
      <c r="E78" s="63" t="s">
        <v>243</v>
      </c>
      <c r="F78" s="63">
        <v>1</v>
      </c>
      <c r="G78" s="63">
        <v>99</v>
      </c>
      <c r="H78" s="64"/>
      <c r="I78" s="4" t="str">
        <f>IF(G78=99,"",CONCATENATE("10.0.",TEXT(((BITWISE_AND('IP Address (no mod)'!$D$20,H$19)/4)+G78*8),"0"),".",TEXT((BITWISE_AND('IP Address (no mod)'!$D$21,H$19)*64)+D$76*10+F78,"0")))</f>
        <v/>
      </c>
      <c r="J78" s="100">
        <f t="shared" si="47"/>
        <v>0</v>
      </c>
      <c r="K78" s="106"/>
      <c r="L78" s="55"/>
      <c r="M78" s="330"/>
      <c r="N78" s="63" t="s">
        <v>243</v>
      </c>
      <c r="O78" s="63">
        <v>1</v>
      </c>
      <c r="P78" s="63">
        <v>5</v>
      </c>
      <c r="Q78" s="64" t="s">
        <v>309</v>
      </c>
      <c r="R78" s="4" t="str">
        <f>IF(P78=99,"",CONCATENATE("10.0.",TEXT(((BITWISE_AND('IP Address (no mod)'!$D$20,Q$19)/4)+P78*8),"0"),".",TEXT((BITWISE_AND('IP Address (no mod)'!$D$21,Q$19)*64)+M$76*10+O78,"0")))</f>
        <v>10.0.40.159</v>
      </c>
      <c r="S78" s="100">
        <f t="shared" si="48"/>
        <v>0</v>
      </c>
      <c r="T78" s="106"/>
      <c r="U78" s="55"/>
      <c r="V78" s="330"/>
      <c r="W78" s="63" t="s">
        <v>243</v>
      </c>
      <c r="X78" s="63">
        <v>1</v>
      </c>
      <c r="Y78" s="63">
        <v>5</v>
      </c>
      <c r="Z78" s="64" t="s">
        <v>310</v>
      </c>
      <c r="AA78" s="4" t="str">
        <f>IF(Y78=99,"",CONCATENATE("10.0.",TEXT(((BITWISE_AND('IP Address (no mod)'!$D$20,Z$19)/4)+Y78*8),"0"),".",TEXT((BITWISE_AND('IP Address (no mod)'!$D$21,Z$19)*64)+V$76*10+X78,"0")))</f>
        <v>10.0.40.223</v>
      </c>
      <c r="AB78" s="100">
        <f t="shared" si="49"/>
        <v>0</v>
      </c>
      <c r="AC78" s="106"/>
      <c r="AD78" s="55"/>
      <c r="AE78" s="330"/>
      <c r="AF78" s="63" t="s">
        <v>243</v>
      </c>
      <c r="AG78" s="63">
        <v>1</v>
      </c>
      <c r="AH78" s="63">
        <v>5</v>
      </c>
      <c r="AI78" s="64" t="s">
        <v>308</v>
      </c>
      <c r="AJ78" s="4" t="str">
        <f>IF(AH78=99,"",CONCATENATE("10.0.",TEXT(((BITWISE_AND('IP Address (no mod)'!$D$20,AI$19)/4)+AH78*8),"0"),".",TEXT((BITWISE_AND('IP Address (no mod)'!$D$21,AI$19)*64)+AE$76*10+AG78,"0")))</f>
        <v>10.0.45.159</v>
      </c>
      <c r="AK78" s="100">
        <f t="shared" si="50"/>
        <v>0</v>
      </c>
      <c r="AL78" s="66"/>
      <c r="AM78" s="66"/>
      <c r="AN78" s="66"/>
      <c r="AO78" s="66"/>
      <c r="AP78" s="66"/>
      <c r="AQ78" s="66"/>
      <c r="AR78" s="59"/>
      <c r="AS78" s="106"/>
      <c r="AT78" s="55"/>
      <c r="AU78" s="330"/>
      <c r="AV78" s="63" t="s">
        <v>243</v>
      </c>
      <c r="AW78" s="63">
        <v>1</v>
      </c>
      <c r="AX78" s="63">
        <v>5</v>
      </c>
      <c r="AY78" s="64" t="s">
        <v>310</v>
      </c>
      <c r="AZ78" s="4" t="str">
        <f>IF(AX78=99,"",CONCATENATE("10.0.",TEXT(((BITWISE_AND('IP Address (no mod)'!$D$20,AY$19)/4)+AX78*8),"0"),".",TEXT((BITWISE_AND('IP Address (no mod)'!$D$21,AY$19)*64)+AU$76*10+AW78,"0")))</f>
        <v>10.0.41.95</v>
      </c>
      <c r="BA78" s="100">
        <f t="shared" si="51"/>
        <v>0</v>
      </c>
      <c r="BB78" s="106"/>
      <c r="BC78" s="55"/>
      <c r="BD78" s="330"/>
      <c r="BE78" s="63" t="s">
        <v>243</v>
      </c>
      <c r="BF78" s="63">
        <v>1</v>
      </c>
      <c r="BG78" s="63">
        <v>5</v>
      </c>
      <c r="BH78" s="64" t="s">
        <v>309</v>
      </c>
      <c r="BI78" s="4" t="str">
        <f>IF(BG78=99,"",CONCATENATE("10.0.",TEXT(((BITWISE_AND('IP Address (no mod)'!$D$20,BH$19)/4)+BG78*8),"0"),".",TEXT((BITWISE_AND('IP Address (no mod)'!$D$21,BH$19)*64)+BD$76*10+BF78,"0")))</f>
        <v>10.0.41.159</v>
      </c>
      <c r="BJ78" s="100">
        <f t="shared" si="52"/>
        <v>0</v>
      </c>
      <c r="BK78" s="106"/>
      <c r="BL78" s="55"/>
      <c r="BM78" s="330"/>
      <c r="BN78" s="63" t="s">
        <v>243</v>
      </c>
      <c r="BO78" s="63">
        <v>1</v>
      </c>
      <c r="BP78" s="63">
        <v>5</v>
      </c>
      <c r="BQ78" s="64" t="s">
        <v>310</v>
      </c>
      <c r="BR78" s="4" t="str">
        <f>IF(BP78=99,"",CONCATENATE("10.0.",TEXT(((BITWISE_AND('IP Address (no mod)'!$D$20,BQ$19)/4)+BP78*8),"0"),".",TEXT((BITWISE_AND('IP Address (no mod)'!$D$21,BQ$19)*64)+BM$76*10+BO78,"0")))</f>
        <v>10.0.41.223</v>
      </c>
      <c r="BS78" s="100">
        <f t="shared" si="53"/>
        <v>0</v>
      </c>
      <c r="BT78" s="106"/>
      <c r="BU78" s="55"/>
      <c r="BV78" s="330"/>
      <c r="BW78" s="63" t="s">
        <v>243</v>
      </c>
      <c r="BX78" s="63">
        <v>1</v>
      </c>
      <c r="BY78" s="63">
        <v>5</v>
      </c>
      <c r="BZ78" s="64" t="s">
        <v>309</v>
      </c>
      <c r="CA78" s="4" t="str">
        <f>IF(BY78=99,"",CONCATENATE("10.0.",TEXT(((BITWISE_AND('IP Address (no mod)'!$D$20,BZ$19)/4)+BY78*8),"0"),".",TEXT((BITWISE_AND('IP Address (no mod)'!$D$21,BZ$19)*64)+BV$76*10+BX78,"0")))</f>
        <v>10.0.42.31</v>
      </c>
      <c r="CB78" s="100">
        <f t="shared" si="54"/>
        <v>0</v>
      </c>
      <c r="CC78" s="106"/>
      <c r="CD78" s="55"/>
      <c r="CE78" s="330"/>
      <c r="CF78" s="63" t="s">
        <v>243</v>
      </c>
      <c r="CG78" s="63">
        <v>1</v>
      </c>
      <c r="CH78" s="63">
        <v>5</v>
      </c>
      <c r="CI78" s="64" t="s">
        <v>310</v>
      </c>
      <c r="CJ78" s="4" t="str">
        <f>IF(CH78=99,"",CONCATENATE("10.0.",TEXT(((BITWISE_AND('IP Address (no mod)'!$D$20,CI$19)/4)+CH78*8),"0"),".",TEXT((BITWISE_AND('IP Address (no mod)'!$D$21,CI$19)*64)+CE$76*10+CG78,"0")))</f>
        <v>10.0.42.95</v>
      </c>
      <c r="CK78" s="100">
        <f t="shared" si="55"/>
        <v>0</v>
      </c>
      <c r="CL78" s="106"/>
      <c r="CM78" s="55"/>
      <c r="CN78" s="330"/>
      <c r="CO78" s="63" t="s">
        <v>243</v>
      </c>
      <c r="CP78" s="63">
        <v>1</v>
      </c>
      <c r="CQ78" s="63">
        <v>5</v>
      </c>
      <c r="CR78" s="64" t="s">
        <v>309</v>
      </c>
      <c r="CS78" s="4" t="str">
        <f>IF(CQ78=99,"",CONCATENATE("10.0.",TEXT(((BITWISE_AND('IP Address (no mod)'!$D$20,CR$19)/4)+CQ78*8),"0"),".",TEXT((BITWISE_AND('IP Address (no mod)'!$D$21,CR$19)*64)+CN$76*10+CP78,"0")))</f>
        <v>10.0.42.159</v>
      </c>
      <c r="CT78" s="100">
        <f t="shared" si="56"/>
        <v>0</v>
      </c>
      <c r="CU78" s="106"/>
      <c r="CV78" s="55"/>
      <c r="CW78" s="330"/>
      <c r="CX78" s="63" t="s">
        <v>243</v>
      </c>
      <c r="CY78" s="63">
        <v>1</v>
      </c>
      <c r="CZ78" s="63">
        <v>5</v>
      </c>
      <c r="DA78" s="64" t="s">
        <v>310</v>
      </c>
      <c r="DB78" s="4" t="str">
        <f>IF(CZ78=99,"",CONCATENATE("10.0.",TEXT(((BITWISE_AND('IP Address (no mod)'!$D$20,DA$19)/4)+CZ78*8),"0"),".",TEXT((BITWISE_AND('IP Address (no mod)'!$D$21,DA$19)*64)+CW$76*10+CY78,"0")))</f>
        <v>10.0.42.223</v>
      </c>
      <c r="DC78" s="100">
        <f t="shared" si="57"/>
        <v>0</v>
      </c>
      <c r="DD78" s="106"/>
      <c r="DE78" s="55"/>
      <c r="DF78" s="330"/>
      <c r="DG78" s="63" t="s">
        <v>243</v>
      </c>
      <c r="DH78" s="63">
        <v>1</v>
      </c>
      <c r="DI78" s="63">
        <v>5</v>
      </c>
      <c r="DJ78" s="64" t="s">
        <v>309</v>
      </c>
      <c r="DK78" s="4" t="str">
        <f>IF(DI78=99,"",CONCATENATE("10.0.",TEXT(((BITWISE_AND('IP Address (no mod)'!$D$20,DJ$19)/4)+DI78*8),"0"),".",TEXT((BITWISE_AND('IP Address (no mod)'!$D$21,DJ$19)*64)+DF$76*10+DH78,"0")))</f>
        <v>10.0.43.31</v>
      </c>
      <c r="DL78" s="100">
        <f t="shared" si="58"/>
        <v>0</v>
      </c>
      <c r="DM78" s="106"/>
      <c r="DN78" s="55"/>
      <c r="DO78" s="330"/>
      <c r="DP78" s="63" t="s">
        <v>243</v>
      </c>
      <c r="DQ78" s="63">
        <v>1</v>
      </c>
      <c r="DR78" s="63">
        <v>5</v>
      </c>
      <c r="DS78" s="64" t="s">
        <v>310</v>
      </c>
      <c r="DT78" s="4" t="str">
        <f>IF(DR78=99,"",CONCATENATE("10.0.",TEXT(((BITWISE_AND('IP Address (no mod)'!$D$20,DS$19)/4)+DR78*8),"0"),".",TEXT((BITWISE_AND('IP Address (no mod)'!$D$21,DS$19)*64)+DO$76*10+DQ78,"0")))</f>
        <v>10.0.43.95</v>
      </c>
      <c r="DU78" s="100">
        <f t="shared" si="59"/>
        <v>0</v>
      </c>
      <c r="DV78" s="98"/>
      <c r="DW78" s="55"/>
      <c r="DX78" s="330"/>
      <c r="DY78" s="63" t="s">
        <v>243</v>
      </c>
      <c r="DZ78" s="63">
        <v>1</v>
      </c>
      <c r="EA78" s="63">
        <v>5</v>
      </c>
      <c r="EB78" s="64" t="s">
        <v>309</v>
      </c>
      <c r="EC78" s="4" t="str">
        <f>IF(EA78=99,"",CONCATENATE("10.0.",TEXT(((BITWISE_AND('IP Address (no mod)'!$D$20,EB$19)/4)+EA78*8),"0"),".",TEXT((BITWISE_AND('IP Address (no mod)'!$D$21,EB$19)*64)+DX$76*10+DZ78,"0")))</f>
        <v>10.0.43.159</v>
      </c>
      <c r="ED78" s="100">
        <f t="shared" si="60"/>
        <v>0</v>
      </c>
      <c r="EE78" s="106"/>
      <c r="EF78" s="55"/>
      <c r="EG78" s="330"/>
      <c r="EH78" s="63" t="s">
        <v>243</v>
      </c>
      <c r="EI78" s="63">
        <v>1</v>
      </c>
      <c r="EJ78" s="63">
        <v>99</v>
      </c>
      <c r="EK78" s="64"/>
      <c r="EL78" s="4" t="str">
        <f>IF(EJ78=99,"",CONCATENATE("10.0.",TEXT(((BITWISE_AND('IP Address (no mod)'!$D$20,EK$19)/4)+EJ78*8),"0"),".",TEXT((BITWISE_AND('IP Address (no mod)'!$D$21,EK$19)*64)+EG$76*10+EI78,"0")))</f>
        <v/>
      </c>
      <c r="EM78" s="100">
        <f t="shared" si="61"/>
        <v>0</v>
      </c>
      <c r="EN78" s="107"/>
    </row>
    <row r="79" spans="1:144">
      <c r="A79" s="322"/>
      <c r="B79" s="102"/>
      <c r="C79" s="55"/>
      <c r="D79" s="330"/>
      <c r="E79" s="63" t="s">
        <v>245</v>
      </c>
      <c r="F79" s="63">
        <v>2</v>
      </c>
      <c r="G79" s="63">
        <v>5</v>
      </c>
      <c r="H79" s="64" t="s">
        <v>307</v>
      </c>
      <c r="I79" s="4" t="str">
        <f>IF(G79=99,"",CONCATENATE("10.0.",TEXT(((BITWISE_AND('IP Address (no mod)'!$D$20,H$19)/4)+G79*8),"0"),".",TEXT((BITWISE_AND('IP Address (no mod)'!$D$21,H$19)*64)+D$76*10+F79,"0")))</f>
        <v>10.0.40.96</v>
      </c>
      <c r="J79" s="100">
        <f t="shared" si="47"/>
        <v>0</v>
      </c>
      <c r="K79" s="106"/>
      <c r="L79" s="55"/>
      <c r="M79" s="330"/>
      <c r="N79" s="63" t="s">
        <v>245</v>
      </c>
      <c r="O79" s="63">
        <v>2</v>
      </c>
      <c r="P79" s="63">
        <v>7</v>
      </c>
      <c r="Q79" s="64" t="s">
        <v>320</v>
      </c>
      <c r="R79" s="4" t="str">
        <f>IF(P79=99,"",CONCATENATE("10.0.",TEXT(((BITWISE_AND('IP Address (no mod)'!$D$20,Q$19)/4)+P79*8),"0"),".",TEXT((BITWISE_AND('IP Address (no mod)'!$D$21,Q$19)*64)+M$76*10+O79,"0")))</f>
        <v>10.0.56.160</v>
      </c>
      <c r="S79" s="100">
        <f t="shared" si="48"/>
        <v>0</v>
      </c>
      <c r="T79" s="106"/>
      <c r="U79" s="55"/>
      <c r="V79" s="330"/>
      <c r="W79" s="63" t="s">
        <v>245</v>
      </c>
      <c r="X79" s="63">
        <v>2</v>
      </c>
      <c r="Y79" s="63">
        <v>7</v>
      </c>
      <c r="Z79" s="64" t="s">
        <v>320</v>
      </c>
      <c r="AA79" s="4" t="str">
        <f>IF(Y79=99,"",CONCATENATE("10.0.",TEXT(((BITWISE_AND('IP Address (no mod)'!$D$20,Z$19)/4)+Y79*8),"0"),".",TEXT((BITWISE_AND('IP Address (no mod)'!$D$21,Z$19)*64)+V$76*10+X79,"0")))</f>
        <v>10.0.56.224</v>
      </c>
      <c r="AB79" s="100">
        <f t="shared" si="49"/>
        <v>0</v>
      </c>
      <c r="AC79" s="106"/>
      <c r="AD79" s="55"/>
      <c r="AE79" s="330"/>
      <c r="AF79" s="63" t="s">
        <v>245</v>
      </c>
      <c r="AG79" s="63">
        <v>2</v>
      </c>
      <c r="AH79" s="63">
        <v>7</v>
      </c>
      <c r="AI79" s="64" t="s">
        <v>320</v>
      </c>
      <c r="AJ79" s="4" t="str">
        <f>IF(AH79=99,"",CONCATENATE("10.0.",TEXT(((BITWISE_AND('IP Address (no mod)'!$D$20,AI$19)/4)+AH79*8),"0"),".",TEXT((BITWISE_AND('IP Address (no mod)'!$D$21,AI$19)*64)+AE$76*10+AG79,"0")))</f>
        <v>10.0.61.160</v>
      </c>
      <c r="AK79" s="100">
        <f t="shared" si="50"/>
        <v>0</v>
      </c>
      <c r="AL79" s="66"/>
      <c r="AM79" s="66"/>
      <c r="AN79" s="66"/>
      <c r="AO79" s="66"/>
      <c r="AP79" s="66"/>
      <c r="AQ79" s="66"/>
      <c r="AR79" s="59"/>
      <c r="AS79" s="106"/>
      <c r="AT79" s="55"/>
      <c r="AU79" s="330"/>
      <c r="AV79" s="63" t="s">
        <v>245</v>
      </c>
      <c r="AW79" s="63">
        <v>2</v>
      </c>
      <c r="AX79" s="63">
        <v>7</v>
      </c>
      <c r="AY79" s="64" t="s">
        <v>320</v>
      </c>
      <c r="AZ79" s="4" t="str">
        <f>IF(AX79=99,"",CONCATENATE("10.0.",TEXT(((BITWISE_AND('IP Address (no mod)'!$D$20,AY$19)/4)+AX79*8),"0"),".",TEXT((BITWISE_AND('IP Address (no mod)'!$D$21,AY$19)*64)+AU$76*10+AW79,"0")))</f>
        <v>10.0.57.96</v>
      </c>
      <c r="BA79" s="100">
        <f t="shared" si="51"/>
        <v>0</v>
      </c>
      <c r="BB79" s="106"/>
      <c r="BC79" s="55"/>
      <c r="BD79" s="330"/>
      <c r="BE79" s="63" t="s">
        <v>245</v>
      </c>
      <c r="BF79" s="63">
        <v>2</v>
      </c>
      <c r="BG79" s="63">
        <v>7</v>
      </c>
      <c r="BH79" s="64" t="s">
        <v>320</v>
      </c>
      <c r="BI79" s="4" t="str">
        <f>IF(BG79=99,"",CONCATENATE("10.0.",TEXT(((BITWISE_AND('IP Address (no mod)'!$D$20,BH$19)/4)+BG79*8),"0"),".",TEXT((BITWISE_AND('IP Address (no mod)'!$D$21,BH$19)*64)+BD$76*10+BF79,"0")))</f>
        <v>10.0.57.160</v>
      </c>
      <c r="BJ79" s="100">
        <f t="shared" si="52"/>
        <v>0</v>
      </c>
      <c r="BK79" s="106"/>
      <c r="BL79" s="55"/>
      <c r="BM79" s="330"/>
      <c r="BN79" s="63" t="s">
        <v>245</v>
      </c>
      <c r="BO79" s="63">
        <v>2</v>
      </c>
      <c r="BP79" s="63">
        <v>7</v>
      </c>
      <c r="BQ79" s="64" t="s">
        <v>320</v>
      </c>
      <c r="BR79" s="4" t="str">
        <f>IF(BP79=99,"",CONCATENATE("10.0.",TEXT(((BITWISE_AND('IP Address (no mod)'!$D$20,BQ$19)/4)+BP79*8),"0"),".",TEXT((BITWISE_AND('IP Address (no mod)'!$D$21,BQ$19)*64)+BM$76*10+BO79,"0")))</f>
        <v>10.0.57.224</v>
      </c>
      <c r="BS79" s="100">
        <f t="shared" si="53"/>
        <v>0</v>
      </c>
      <c r="BT79" s="106"/>
      <c r="BU79" s="55"/>
      <c r="BV79" s="330"/>
      <c r="BW79" s="63" t="s">
        <v>245</v>
      </c>
      <c r="BX79" s="63">
        <v>2</v>
      </c>
      <c r="BY79" s="63">
        <v>7</v>
      </c>
      <c r="BZ79" s="64" t="s">
        <v>320</v>
      </c>
      <c r="CA79" s="4" t="str">
        <f>IF(BY79=99,"",CONCATENATE("10.0.",TEXT(((BITWISE_AND('IP Address (no mod)'!$D$20,BZ$19)/4)+BY79*8),"0"),".",TEXT((BITWISE_AND('IP Address (no mod)'!$D$21,BZ$19)*64)+BV$76*10+BX79,"0")))</f>
        <v>10.0.58.32</v>
      </c>
      <c r="CB79" s="100">
        <f t="shared" si="54"/>
        <v>0</v>
      </c>
      <c r="CC79" s="106"/>
      <c r="CD79" s="55"/>
      <c r="CE79" s="330"/>
      <c r="CF79" s="63" t="s">
        <v>245</v>
      </c>
      <c r="CG79" s="63">
        <v>2</v>
      </c>
      <c r="CH79" s="63">
        <v>7</v>
      </c>
      <c r="CI79" s="64" t="s">
        <v>320</v>
      </c>
      <c r="CJ79" s="4" t="str">
        <f>IF(CH79=99,"",CONCATENATE("10.0.",TEXT(((BITWISE_AND('IP Address (no mod)'!$D$20,CI$19)/4)+CH79*8),"0"),".",TEXT((BITWISE_AND('IP Address (no mod)'!$D$21,CI$19)*64)+CE$76*10+CG79,"0")))</f>
        <v>10.0.58.96</v>
      </c>
      <c r="CK79" s="100">
        <f t="shared" si="55"/>
        <v>0</v>
      </c>
      <c r="CL79" s="106"/>
      <c r="CM79" s="55"/>
      <c r="CN79" s="330"/>
      <c r="CO79" s="63" t="s">
        <v>245</v>
      </c>
      <c r="CP79" s="63">
        <v>2</v>
      </c>
      <c r="CQ79" s="63">
        <v>7</v>
      </c>
      <c r="CR79" s="64" t="s">
        <v>320</v>
      </c>
      <c r="CS79" s="4" t="str">
        <f>IF(CQ79=99,"",CONCATENATE("10.0.",TEXT(((BITWISE_AND('IP Address (no mod)'!$D$20,CR$19)/4)+CQ79*8),"0"),".",TEXT((BITWISE_AND('IP Address (no mod)'!$D$21,CR$19)*64)+CN$76*10+CP79,"0")))</f>
        <v>10.0.58.160</v>
      </c>
      <c r="CT79" s="100">
        <f t="shared" si="56"/>
        <v>0</v>
      </c>
      <c r="CU79" s="106"/>
      <c r="CV79" s="55"/>
      <c r="CW79" s="330"/>
      <c r="CX79" s="63" t="s">
        <v>245</v>
      </c>
      <c r="CY79" s="63">
        <v>2</v>
      </c>
      <c r="CZ79" s="63">
        <v>7</v>
      </c>
      <c r="DA79" s="64" t="s">
        <v>320</v>
      </c>
      <c r="DB79" s="4" t="str">
        <f>IF(CZ79=99,"",CONCATENATE("10.0.",TEXT(((BITWISE_AND('IP Address (no mod)'!$D$20,DA$19)/4)+CZ79*8),"0"),".",TEXT((BITWISE_AND('IP Address (no mod)'!$D$21,DA$19)*64)+CW$76*10+CY79,"0")))</f>
        <v>10.0.58.224</v>
      </c>
      <c r="DC79" s="100">
        <f t="shared" si="57"/>
        <v>0</v>
      </c>
      <c r="DD79" s="106"/>
      <c r="DE79" s="55"/>
      <c r="DF79" s="330"/>
      <c r="DG79" s="63" t="s">
        <v>245</v>
      </c>
      <c r="DH79" s="63">
        <v>2</v>
      </c>
      <c r="DI79" s="63">
        <v>7</v>
      </c>
      <c r="DJ79" s="64" t="s">
        <v>320</v>
      </c>
      <c r="DK79" s="4" t="str">
        <f>IF(DI79=99,"",CONCATENATE("10.0.",TEXT(((BITWISE_AND('IP Address (no mod)'!$D$20,DJ$19)/4)+DI79*8),"0"),".",TEXT((BITWISE_AND('IP Address (no mod)'!$D$21,DJ$19)*64)+DF$76*10+DH79,"0")))</f>
        <v>10.0.59.32</v>
      </c>
      <c r="DL79" s="100">
        <f t="shared" si="58"/>
        <v>0</v>
      </c>
      <c r="DM79" s="106"/>
      <c r="DN79" s="55"/>
      <c r="DO79" s="330"/>
      <c r="DP79" s="63" t="s">
        <v>245</v>
      </c>
      <c r="DQ79" s="63">
        <v>2</v>
      </c>
      <c r="DR79" s="63">
        <v>7</v>
      </c>
      <c r="DS79" s="64" t="s">
        <v>320</v>
      </c>
      <c r="DT79" s="4" t="str">
        <f>IF(DR79=99,"",CONCATENATE("10.0.",TEXT(((BITWISE_AND('IP Address (no mod)'!$D$20,DS$19)/4)+DR79*8),"0"),".",TEXT((BITWISE_AND('IP Address (no mod)'!$D$21,DS$19)*64)+DO$76*10+DQ79,"0")))</f>
        <v>10.0.59.96</v>
      </c>
      <c r="DU79" s="100">
        <f t="shared" si="59"/>
        <v>0</v>
      </c>
      <c r="DV79" s="98"/>
      <c r="DW79" s="55"/>
      <c r="DX79" s="330"/>
      <c r="DY79" s="63" t="s">
        <v>245</v>
      </c>
      <c r="DZ79" s="63">
        <v>2</v>
      </c>
      <c r="EA79" s="63">
        <v>7</v>
      </c>
      <c r="EB79" s="64" t="s">
        <v>320</v>
      </c>
      <c r="EC79" s="4" t="str">
        <f>IF(EA79=99,"",CONCATENATE("10.0.",TEXT(((BITWISE_AND('IP Address (no mod)'!$D$20,EB$19)/4)+EA79*8),"0"),".",TEXT((BITWISE_AND('IP Address (no mod)'!$D$21,EB$19)*64)+DX$76*10+DZ79,"0")))</f>
        <v>10.0.59.160</v>
      </c>
      <c r="ED79" s="100">
        <f t="shared" si="60"/>
        <v>0</v>
      </c>
      <c r="EE79" s="106"/>
      <c r="EF79" s="55"/>
      <c r="EG79" s="330"/>
      <c r="EH79" s="63" t="s">
        <v>245</v>
      </c>
      <c r="EI79" s="63">
        <v>2</v>
      </c>
      <c r="EJ79" s="63">
        <v>5</v>
      </c>
      <c r="EK79" s="64" t="s">
        <v>307</v>
      </c>
      <c r="EL79" s="4" t="str">
        <f>IF(EJ79=99,"",CONCATENATE("10.0.",TEXT(((BITWISE_AND('IP Address (no mod)'!$D$20,EK$19)/4)+EJ79*8),"0"),".",TEXT((BITWISE_AND('IP Address (no mod)'!$D$21,EK$19)*64)+EG$76*10+EI79,"0")))</f>
        <v>10.0.43.224</v>
      </c>
      <c r="EM79" s="100">
        <f t="shared" si="61"/>
        <v>0</v>
      </c>
      <c r="EN79" s="107"/>
    </row>
    <row r="80" spans="1:144">
      <c r="A80" s="322"/>
      <c r="B80" s="102"/>
      <c r="C80" s="55"/>
      <c r="D80" s="330"/>
      <c r="E80" s="63" t="s">
        <v>248</v>
      </c>
      <c r="F80" s="63">
        <v>3</v>
      </c>
      <c r="G80" s="63">
        <v>5</v>
      </c>
      <c r="H80" s="64" t="s">
        <v>309</v>
      </c>
      <c r="I80" s="4" t="str">
        <f>IF(G80=99,"",CONCATENATE("10.0.",TEXT(((BITWISE_AND('IP Address (no mod)'!$D$20,H$19)/4)+G80*8),"0"),".",TEXT((BITWISE_AND('IP Address (no mod)'!$D$21,H$19)*64)+D$76*10+F80,"0")))</f>
        <v>10.0.40.97</v>
      </c>
      <c r="J80" s="100">
        <f t="shared" si="47"/>
        <v>0</v>
      </c>
      <c r="K80" s="106"/>
      <c r="L80" s="55"/>
      <c r="M80" s="330"/>
      <c r="N80" s="63" t="s">
        <v>248</v>
      </c>
      <c r="O80" s="63">
        <v>3</v>
      </c>
      <c r="P80" s="63">
        <v>7</v>
      </c>
      <c r="Q80" s="64" t="s">
        <v>321</v>
      </c>
      <c r="R80" s="4" t="str">
        <f>IF(P80=99,"",CONCATENATE("10.0.",TEXT(((BITWISE_AND('IP Address (no mod)'!$D$20,Q$19)/4)+P80*8),"0"),".",TEXT((BITWISE_AND('IP Address (no mod)'!$D$21,Q$19)*64)+M$76*10+O80,"0")))</f>
        <v>10.0.56.161</v>
      </c>
      <c r="S80" s="100">
        <f t="shared" si="48"/>
        <v>0</v>
      </c>
      <c r="T80" s="106"/>
      <c r="U80" s="55"/>
      <c r="V80" s="330"/>
      <c r="W80" s="63" t="s">
        <v>248</v>
      </c>
      <c r="X80" s="63">
        <v>3</v>
      </c>
      <c r="Y80" s="63">
        <v>7</v>
      </c>
      <c r="Z80" s="64" t="s">
        <v>321</v>
      </c>
      <c r="AA80" s="4" t="str">
        <f>IF(Y80=99,"",CONCATENATE("10.0.",TEXT(((BITWISE_AND('IP Address (no mod)'!$D$20,Z$19)/4)+Y80*8),"0"),".",TEXT((BITWISE_AND('IP Address (no mod)'!$D$21,Z$19)*64)+V$76*10+X80,"0")))</f>
        <v>10.0.56.225</v>
      </c>
      <c r="AB80" s="100">
        <f t="shared" si="49"/>
        <v>0</v>
      </c>
      <c r="AC80" s="106"/>
      <c r="AD80" s="55"/>
      <c r="AE80" s="330"/>
      <c r="AF80" s="63" t="s">
        <v>248</v>
      </c>
      <c r="AG80" s="63">
        <v>3</v>
      </c>
      <c r="AH80" s="63">
        <v>7</v>
      </c>
      <c r="AI80" s="64" t="s">
        <v>321</v>
      </c>
      <c r="AJ80" s="4" t="str">
        <f>IF(AH80=99,"",CONCATENATE("10.0.",TEXT(((BITWISE_AND('IP Address (no mod)'!$D$20,AI$19)/4)+AH80*8),"0"),".",TEXT((BITWISE_AND('IP Address (no mod)'!$D$21,AI$19)*64)+AE$76*10+AG80,"0")))</f>
        <v>10.0.61.161</v>
      </c>
      <c r="AK80" s="100">
        <f t="shared" si="50"/>
        <v>0</v>
      </c>
      <c r="AL80" s="66"/>
      <c r="AM80" s="66"/>
      <c r="AN80" s="66"/>
      <c r="AO80" s="66"/>
      <c r="AP80" s="66"/>
      <c r="AQ80" s="66"/>
      <c r="AR80" s="59"/>
      <c r="AS80" s="106"/>
      <c r="AT80" s="55"/>
      <c r="AU80" s="330"/>
      <c r="AV80" s="63" t="s">
        <v>248</v>
      </c>
      <c r="AW80" s="63">
        <v>3</v>
      </c>
      <c r="AX80" s="63">
        <v>7</v>
      </c>
      <c r="AY80" s="64" t="s">
        <v>321</v>
      </c>
      <c r="AZ80" s="4" t="str">
        <f>IF(AX80=99,"",CONCATENATE("10.0.",TEXT(((BITWISE_AND('IP Address (no mod)'!$D$20,AY$19)/4)+AX80*8),"0"),".",TEXT((BITWISE_AND('IP Address (no mod)'!$D$21,AY$19)*64)+AU$76*10+AW80,"0")))</f>
        <v>10.0.57.97</v>
      </c>
      <c r="BA80" s="100">
        <f t="shared" si="51"/>
        <v>0</v>
      </c>
      <c r="BB80" s="106"/>
      <c r="BC80" s="55"/>
      <c r="BD80" s="330"/>
      <c r="BE80" s="63" t="s">
        <v>248</v>
      </c>
      <c r="BF80" s="63">
        <v>3</v>
      </c>
      <c r="BG80" s="63">
        <v>7</v>
      </c>
      <c r="BH80" s="64" t="s">
        <v>321</v>
      </c>
      <c r="BI80" s="4" t="str">
        <f>IF(BG80=99,"",CONCATENATE("10.0.",TEXT(((BITWISE_AND('IP Address (no mod)'!$D$20,BH$19)/4)+BG80*8),"0"),".",TEXT((BITWISE_AND('IP Address (no mod)'!$D$21,BH$19)*64)+BD$76*10+BF80,"0")))</f>
        <v>10.0.57.161</v>
      </c>
      <c r="BJ80" s="100">
        <f t="shared" si="52"/>
        <v>0</v>
      </c>
      <c r="BK80" s="106"/>
      <c r="BL80" s="55"/>
      <c r="BM80" s="330"/>
      <c r="BN80" s="63" t="s">
        <v>248</v>
      </c>
      <c r="BO80" s="63">
        <v>3</v>
      </c>
      <c r="BP80" s="63">
        <v>7</v>
      </c>
      <c r="BQ80" s="64" t="s">
        <v>321</v>
      </c>
      <c r="BR80" s="4" t="str">
        <f>IF(BP80=99,"",CONCATENATE("10.0.",TEXT(((BITWISE_AND('IP Address (no mod)'!$D$20,BQ$19)/4)+BP80*8),"0"),".",TEXT((BITWISE_AND('IP Address (no mod)'!$D$21,BQ$19)*64)+BM$76*10+BO80,"0")))</f>
        <v>10.0.57.225</v>
      </c>
      <c r="BS80" s="100">
        <f t="shared" si="53"/>
        <v>0</v>
      </c>
      <c r="BT80" s="106"/>
      <c r="BU80" s="55"/>
      <c r="BV80" s="330"/>
      <c r="BW80" s="63" t="s">
        <v>248</v>
      </c>
      <c r="BX80" s="63">
        <v>3</v>
      </c>
      <c r="BY80" s="63">
        <v>7</v>
      </c>
      <c r="BZ80" s="64" t="s">
        <v>321</v>
      </c>
      <c r="CA80" s="4" t="str">
        <f>IF(BY80=99,"",CONCATENATE("10.0.",TEXT(((BITWISE_AND('IP Address (no mod)'!$D$20,BZ$19)/4)+BY80*8),"0"),".",TEXT((BITWISE_AND('IP Address (no mod)'!$D$21,BZ$19)*64)+BV$76*10+BX80,"0")))</f>
        <v>10.0.58.33</v>
      </c>
      <c r="CB80" s="100">
        <f t="shared" si="54"/>
        <v>0</v>
      </c>
      <c r="CC80" s="106"/>
      <c r="CD80" s="55"/>
      <c r="CE80" s="330"/>
      <c r="CF80" s="63" t="s">
        <v>248</v>
      </c>
      <c r="CG80" s="63">
        <v>3</v>
      </c>
      <c r="CH80" s="63">
        <v>7</v>
      </c>
      <c r="CI80" s="64" t="s">
        <v>321</v>
      </c>
      <c r="CJ80" s="4" t="str">
        <f>IF(CH80=99,"",CONCATENATE("10.0.",TEXT(((BITWISE_AND('IP Address (no mod)'!$D$20,CI$19)/4)+CH80*8),"0"),".",TEXT((BITWISE_AND('IP Address (no mod)'!$D$21,CI$19)*64)+CE$76*10+CG80,"0")))</f>
        <v>10.0.58.97</v>
      </c>
      <c r="CK80" s="100">
        <f t="shared" si="55"/>
        <v>0</v>
      </c>
      <c r="CL80" s="106"/>
      <c r="CM80" s="55"/>
      <c r="CN80" s="330"/>
      <c r="CO80" s="63" t="s">
        <v>248</v>
      </c>
      <c r="CP80" s="63">
        <v>3</v>
      </c>
      <c r="CQ80" s="63">
        <v>7</v>
      </c>
      <c r="CR80" s="64" t="s">
        <v>321</v>
      </c>
      <c r="CS80" s="4" t="str">
        <f>IF(CQ80=99,"",CONCATENATE("10.0.",TEXT(((BITWISE_AND('IP Address (no mod)'!$D$20,CR$19)/4)+CQ80*8),"0"),".",TEXT((BITWISE_AND('IP Address (no mod)'!$D$21,CR$19)*64)+CN$76*10+CP80,"0")))</f>
        <v>10.0.58.161</v>
      </c>
      <c r="CT80" s="100">
        <f t="shared" si="56"/>
        <v>0</v>
      </c>
      <c r="CU80" s="106"/>
      <c r="CV80" s="55"/>
      <c r="CW80" s="330"/>
      <c r="CX80" s="63" t="s">
        <v>248</v>
      </c>
      <c r="CY80" s="63">
        <v>3</v>
      </c>
      <c r="CZ80" s="63">
        <v>7</v>
      </c>
      <c r="DA80" s="64" t="s">
        <v>321</v>
      </c>
      <c r="DB80" s="4" t="str">
        <f>IF(CZ80=99,"",CONCATENATE("10.0.",TEXT(((BITWISE_AND('IP Address (no mod)'!$D$20,DA$19)/4)+CZ80*8),"0"),".",TEXT((BITWISE_AND('IP Address (no mod)'!$D$21,DA$19)*64)+CW$76*10+CY80,"0")))</f>
        <v>10.0.58.225</v>
      </c>
      <c r="DC80" s="100">
        <f t="shared" si="57"/>
        <v>0</v>
      </c>
      <c r="DD80" s="106"/>
      <c r="DE80" s="55"/>
      <c r="DF80" s="330"/>
      <c r="DG80" s="63" t="s">
        <v>248</v>
      </c>
      <c r="DH80" s="63">
        <v>3</v>
      </c>
      <c r="DI80" s="63">
        <v>7</v>
      </c>
      <c r="DJ80" s="64" t="s">
        <v>321</v>
      </c>
      <c r="DK80" s="4" t="str">
        <f>IF(DI80=99,"",CONCATENATE("10.0.",TEXT(((BITWISE_AND('IP Address (no mod)'!$D$20,DJ$19)/4)+DI80*8),"0"),".",TEXT((BITWISE_AND('IP Address (no mod)'!$D$21,DJ$19)*64)+DF$76*10+DH80,"0")))</f>
        <v>10.0.59.33</v>
      </c>
      <c r="DL80" s="100">
        <f t="shared" si="58"/>
        <v>0</v>
      </c>
      <c r="DM80" s="106"/>
      <c r="DN80" s="55"/>
      <c r="DO80" s="330"/>
      <c r="DP80" s="63" t="s">
        <v>248</v>
      </c>
      <c r="DQ80" s="63">
        <v>3</v>
      </c>
      <c r="DR80" s="63">
        <v>7</v>
      </c>
      <c r="DS80" s="64" t="s">
        <v>321</v>
      </c>
      <c r="DT80" s="4" t="str">
        <f>IF(DR80=99,"",CONCATENATE("10.0.",TEXT(((BITWISE_AND('IP Address (no mod)'!$D$20,DS$19)/4)+DR80*8),"0"),".",TEXT((BITWISE_AND('IP Address (no mod)'!$D$21,DS$19)*64)+DO$76*10+DQ80,"0")))</f>
        <v>10.0.59.97</v>
      </c>
      <c r="DU80" s="100">
        <f t="shared" si="59"/>
        <v>0</v>
      </c>
      <c r="DV80" s="98"/>
      <c r="DW80" s="55"/>
      <c r="DX80" s="330"/>
      <c r="DY80" s="63" t="s">
        <v>248</v>
      </c>
      <c r="DZ80" s="63">
        <v>3</v>
      </c>
      <c r="EA80" s="63">
        <v>7</v>
      </c>
      <c r="EB80" s="64" t="s">
        <v>321</v>
      </c>
      <c r="EC80" s="4" t="str">
        <f>IF(EA80=99,"",CONCATENATE("10.0.",TEXT(((BITWISE_AND('IP Address (no mod)'!$D$20,EB$19)/4)+EA80*8),"0"),".",TEXT((BITWISE_AND('IP Address (no mod)'!$D$21,EB$19)*64)+DX$76*10+DZ80,"0")))</f>
        <v>10.0.59.161</v>
      </c>
      <c r="ED80" s="100">
        <f t="shared" si="60"/>
        <v>0</v>
      </c>
      <c r="EE80" s="106"/>
      <c r="EF80" s="55"/>
      <c r="EG80" s="330"/>
      <c r="EH80" s="63" t="s">
        <v>248</v>
      </c>
      <c r="EI80" s="63">
        <v>3</v>
      </c>
      <c r="EJ80" s="63">
        <v>5</v>
      </c>
      <c r="EK80" s="64" t="s">
        <v>309</v>
      </c>
      <c r="EL80" s="4" t="str">
        <f>IF(EJ80=99,"",CONCATENATE("10.0.",TEXT(((BITWISE_AND('IP Address (no mod)'!$D$20,EK$19)/4)+EJ80*8),"0"),".",TEXT((BITWISE_AND('IP Address (no mod)'!$D$21,EK$19)*64)+EG$76*10+EI80,"0")))</f>
        <v>10.0.43.225</v>
      </c>
      <c r="EM80" s="100">
        <f t="shared" si="61"/>
        <v>0</v>
      </c>
      <c r="EN80" s="107"/>
    </row>
    <row r="81" spans="1:144">
      <c r="A81" s="322"/>
      <c r="B81" s="102"/>
      <c r="C81" s="55"/>
      <c r="D81" s="330"/>
      <c r="E81" s="63" t="s">
        <v>251</v>
      </c>
      <c r="F81" s="63">
        <v>4</v>
      </c>
      <c r="G81" s="63">
        <v>5</v>
      </c>
      <c r="H81" s="64" t="s">
        <v>322</v>
      </c>
      <c r="I81" s="4" t="str">
        <f>IF(G81=99,"",CONCATENATE("10.0.",TEXT(((BITWISE_AND('IP Address (no mod)'!$D$20,H$19)/4)+G81*8),"0"),".",TEXT((BITWISE_AND('IP Address (no mod)'!$D$21,H$19)*64)+D$76*10+F81,"0")))</f>
        <v>10.0.40.98</v>
      </c>
      <c r="J81" s="100">
        <f t="shared" si="47"/>
        <v>0</v>
      </c>
      <c r="K81" s="106"/>
      <c r="L81" s="55"/>
      <c r="M81" s="330"/>
      <c r="N81" s="63" t="s">
        <v>251</v>
      </c>
      <c r="O81" s="63">
        <v>4</v>
      </c>
      <c r="P81" s="63">
        <v>7</v>
      </c>
      <c r="Q81" s="64" t="s">
        <v>323</v>
      </c>
      <c r="R81" s="4" t="str">
        <f>IF(P81=99,"",CONCATENATE("10.0.",TEXT(((BITWISE_AND('IP Address (no mod)'!$D$20,Q$19)/4)+P81*8),"0"),".",TEXT((BITWISE_AND('IP Address (no mod)'!$D$21,Q$19)*64)+M$76*10+O81,"0")))</f>
        <v>10.0.56.162</v>
      </c>
      <c r="S81" s="100">
        <f t="shared" si="48"/>
        <v>0</v>
      </c>
      <c r="T81" s="106"/>
      <c r="U81" s="55"/>
      <c r="V81" s="330"/>
      <c r="W81" s="63" t="s">
        <v>251</v>
      </c>
      <c r="X81" s="63">
        <v>4</v>
      </c>
      <c r="Y81" s="63">
        <v>7</v>
      </c>
      <c r="Z81" s="64" t="s">
        <v>323</v>
      </c>
      <c r="AA81" s="4" t="str">
        <f>IF(Y81=99,"",CONCATENATE("10.0.",TEXT(((BITWISE_AND('IP Address (no mod)'!$D$20,Z$19)/4)+Y81*8),"0"),".",TEXT((BITWISE_AND('IP Address (no mod)'!$D$21,Z$19)*64)+V$76*10+X81,"0")))</f>
        <v>10.0.56.226</v>
      </c>
      <c r="AB81" s="100">
        <f t="shared" si="49"/>
        <v>0</v>
      </c>
      <c r="AC81" s="106"/>
      <c r="AD81" s="55"/>
      <c r="AE81" s="330"/>
      <c r="AF81" s="63" t="s">
        <v>251</v>
      </c>
      <c r="AG81" s="63">
        <v>4</v>
      </c>
      <c r="AH81" s="63">
        <v>7</v>
      </c>
      <c r="AI81" s="64" t="s">
        <v>323</v>
      </c>
      <c r="AJ81" s="4" t="str">
        <f>IF(AH81=99,"",CONCATENATE("10.0.",TEXT(((BITWISE_AND('IP Address (no mod)'!$D$20,AI$19)/4)+AH81*8),"0"),".",TEXT((BITWISE_AND('IP Address (no mod)'!$D$21,AI$19)*64)+AE$76*10+AG81,"0")))</f>
        <v>10.0.61.162</v>
      </c>
      <c r="AK81" s="100">
        <f t="shared" si="50"/>
        <v>0</v>
      </c>
      <c r="AL81" s="66"/>
      <c r="AM81" s="66"/>
      <c r="AN81" s="66"/>
      <c r="AO81" s="66"/>
      <c r="AP81" s="66"/>
      <c r="AQ81" s="66"/>
      <c r="AR81" s="59"/>
      <c r="AS81" s="106"/>
      <c r="AT81" s="55"/>
      <c r="AU81" s="330"/>
      <c r="AV81" s="63" t="s">
        <v>251</v>
      </c>
      <c r="AW81" s="63">
        <v>4</v>
      </c>
      <c r="AX81" s="63">
        <v>7</v>
      </c>
      <c r="AY81" s="64" t="s">
        <v>323</v>
      </c>
      <c r="AZ81" s="4" t="str">
        <f>IF(AX81=99,"",CONCATENATE("10.0.",TEXT(((BITWISE_AND('IP Address (no mod)'!$D$20,AY$19)/4)+AX81*8),"0"),".",TEXT((BITWISE_AND('IP Address (no mod)'!$D$21,AY$19)*64)+AU$76*10+AW81,"0")))</f>
        <v>10.0.57.98</v>
      </c>
      <c r="BA81" s="100">
        <f t="shared" si="51"/>
        <v>0</v>
      </c>
      <c r="BB81" s="106"/>
      <c r="BC81" s="55"/>
      <c r="BD81" s="330"/>
      <c r="BE81" s="63" t="s">
        <v>251</v>
      </c>
      <c r="BF81" s="63">
        <v>4</v>
      </c>
      <c r="BG81" s="63">
        <v>7</v>
      </c>
      <c r="BH81" s="64" t="s">
        <v>323</v>
      </c>
      <c r="BI81" s="4" t="str">
        <f>IF(BG81=99,"",CONCATENATE("10.0.",TEXT(((BITWISE_AND('IP Address (no mod)'!$D$20,BH$19)/4)+BG81*8),"0"),".",TEXT((BITWISE_AND('IP Address (no mod)'!$D$21,BH$19)*64)+BD$76*10+BF81,"0")))</f>
        <v>10.0.57.162</v>
      </c>
      <c r="BJ81" s="100">
        <f t="shared" si="52"/>
        <v>0</v>
      </c>
      <c r="BK81" s="106"/>
      <c r="BL81" s="55"/>
      <c r="BM81" s="330"/>
      <c r="BN81" s="63" t="s">
        <v>251</v>
      </c>
      <c r="BO81" s="63">
        <v>4</v>
      </c>
      <c r="BP81" s="63">
        <v>7</v>
      </c>
      <c r="BQ81" s="64" t="s">
        <v>323</v>
      </c>
      <c r="BR81" s="4" t="str">
        <f>IF(BP81=99,"",CONCATENATE("10.0.",TEXT(((BITWISE_AND('IP Address (no mod)'!$D$20,BQ$19)/4)+BP81*8),"0"),".",TEXT((BITWISE_AND('IP Address (no mod)'!$D$21,BQ$19)*64)+BM$76*10+BO81,"0")))</f>
        <v>10.0.57.226</v>
      </c>
      <c r="BS81" s="100">
        <f t="shared" si="53"/>
        <v>0</v>
      </c>
      <c r="BT81" s="106"/>
      <c r="BU81" s="55"/>
      <c r="BV81" s="330"/>
      <c r="BW81" s="63" t="s">
        <v>251</v>
      </c>
      <c r="BX81" s="63">
        <v>4</v>
      </c>
      <c r="BY81" s="63">
        <v>7</v>
      </c>
      <c r="BZ81" s="64" t="s">
        <v>323</v>
      </c>
      <c r="CA81" s="4" t="str">
        <f>IF(BY81=99,"",CONCATENATE("10.0.",TEXT(((BITWISE_AND('IP Address (no mod)'!$D$20,BZ$19)/4)+BY81*8),"0"),".",TEXT((BITWISE_AND('IP Address (no mod)'!$D$21,BZ$19)*64)+BV$76*10+BX81,"0")))</f>
        <v>10.0.58.34</v>
      </c>
      <c r="CB81" s="100">
        <f t="shared" si="54"/>
        <v>0</v>
      </c>
      <c r="CC81" s="106"/>
      <c r="CD81" s="55"/>
      <c r="CE81" s="330"/>
      <c r="CF81" s="63" t="s">
        <v>251</v>
      </c>
      <c r="CG81" s="63">
        <v>4</v>
      </c>
      <c r="CH81" s="63">
        <v>7</v>
      </c>
      <c r="CI81" s="64" t="s">
        <v>323</v>
      </c>
      <c r="CJ81" s="4" t="str">
        <f>IF(CH81=99,"",CONCATENATE("10.0.",TEXT(((BITWISE_AND('IP Address (no mod)'!$D$20,CI$19)/4)+CH81*8),"0"),".",TEXT((BITWISE_AND('IP Address (no mod)'!$D$21,CI$19)*64)+CE$76*10+CG81,"0")))</f>
        <v>10.0.58.98</v>
      </c>
      <c r="CK81" s="100">
        <f t="shared" si="55"/>
        <v>0</v>
      </c>
      <c r="CL81" s="106"/>
      <c r="CM81" s="55"/>
      <c r="CN81" s="330"/>
      <c r="CO81" s="63" t="s">
        <v>251</v>
      </c>
      <c r="CP81" s="63">
        <v>4</v>
      </c>
      <c r="CQ81" s="63">
        <v>7</v>
      </c>
      <c r="CR81" s="64" t="s">
        <v>323</v>
      </c>
      <c r="CS81" s="4" t="str">
        <f>IF(CQ81=99,"",CONCATENATE("10.0.",TEXT(((BITWISE_AND('IP Address (no mod)'!$D$20,CR$19)/4)+CQ81*8),"0"),".",TEXT((BITWISE_AND('IP Address (no mod)'!$D$21,CR$19)*64)+CN$76*10+CP81,"0")))</f>
        <v>10.0.58.162</v>
      </c>
      <c r="CT81" s="100">
        <f t="shared" si="56"/>
        <v>0</v>
      </c>
      <c r="CU81" s="106"/>
      <c r="CV81" s="55"/>
      <c r="CW81" s="330"/>
      <c r="CX81" s="63" t="s">
        <v>251</v>
      </c>
      <c r="CY81" s="63">
        <v>4</v>
      </c>
      <c r="CZ81" s="63">
        <v>7</v>
      </c>
      <c r="DA81" s="64" t="s">
        <v>323</v>
      </c>
      <c r="DB81" s="4" t="str">
        <f>IF(CZ81=99,"",CONCATENATE("10.0.",TEXT(((BITWISE_AND('IP Address (no mod)'!$D$20,DA$19)/4)+CZ81*8),"0"),".",TEXT((BITWISE_AND('IP Address (no mod)'!$D$21,DA$19)*64)+CW$76*10+CY81,"0")))</f>
        <v>10.0.58.226</v>
      </c>
      <c r="DC81" s="100">
        <f t="shared" si="57"/>
        <v>0</v>
      </c>
      <c r="DD81" s="106"/>
      <c r="DE81" s="55"/>
      <c r="DF81" s="330"/>
      <c r="DG81" s="63" t="s">
        <v>251</v>
      </c>
      <c r="DH81" s="63">
        <v>4</v>
      </c>
      <c r="DI81" s="63">
        <v>7</v>
      </c>
      <c r="DJ81" s="64" t="s">
        <v>323</v>
      </c>
      <c r="DK81" s="4" t="str">
        <f>IF(DI81=99,"",CONCATENATE("10.0.",TEXT(((BITWISE_AND('IP Address (no mod)'!$D$20,DJ$19)/4)+DI81*8),"0"),".",TEXT((BITWISE_AND('IP Address (no mod)'!$D$21,DJ$19)*64)+DF$76*10+DH81,"0")))</f>
        <v>10.0.59.34</v>
      </c>
      <c r="DL81" s="100">
        <f t="shared" si="58"/>
        <v>0</v>
      </c>
      <c r="DM81" s="106"/>
      <c r="DN81" s="55"/>
      <c r="DO81" s="330"/>
      <c r="DP81" s="63" t="s">
        <v>251</v>
      </c>
      <c r="DQ81" s="63">
        <v>4</v>
      </c>
      <c r="DR81" s="63">
        <v>7</v>
      </c>
      <c r="DS81" s="64" t="s">
        <v>323</v>
      </c>
      <c r="DT81" s="4" t="str">
        <f>IF(DR81=99,"",CONCATENATE("10.0.",TEXT(((BITWISE_AND('IP Address (no mod)'!$D$20,DS$19)/4)+DR81*8),"0"),".",TEXT((BITWISE_AND('IP Address (no mod)'!$D$21,DS$19)*64)+DO$76*10+DQ81,"0")))</f>
        <v>10.0.59.98</v>
      </c>
      <c r="DU81" s="100">
        <f t="shared" si="59"/>
        <v>0</v>
      </c>
      <c r="DV81" s="98"/>
      <c r="DW81" s="55"/>
      <c r="DX81" s="330"/>
      <c r="DY81" s="63" t="s">
        <v>251</v>
      </c>
      <c r="DZ81" s="63">
        <v>4</v>
      </c>
      <c r="EA81" s="63">
        <v>7</v>
      </c>
      <c r="EB81" s="64" t="s">
        <v>323</v>
      </c>
      <c r="EC81" s="4" t="str">
        <f>IF(EA81=99,"",CONCATENATE("10.0.",TEXT(((BITWISE_AND('IP Address (no mod)'!$D$20,EB$19)/4)+EA81*8),"0"),".",TEXT((BITWISE_AND('IP Address (no mod)'!$D$21,EB$19)*64)+DX$76*10+DZ81,"0")))</f>
        <v>10.0.59.162</v>
      </c>
      <c r="ED81" s="100">
        <f t="shared" si="60"/>
        <v>0</v>
      </c>
      <c r="EE81" s="106"/>
      <c r="EF81" s="55"/>
      <c r="EG81" s="330"/>
      <c r="EH81" s="63" t="s">
        <v>251</v>
      </c>
      <c r="EI81" s="63">
        <v>4</v>
      </c>
      <c r="EJ81" s="63">
        <v>5</v>
      </c>
      <c r="EK81" s="64" t="s">
        <v>322</v>
      </c>
      <c r="EL81" s="4" t="str">
        <f>IF(EJ81=99,"",CONCATENATE("10.0.",TEXT(((BITWISE_AND('IP Address (no mod)'!$D$20,EK$19)/4)+EJ81*8),"0"),".",TEXT((BITWISE_AND('IP Address (no mod)'!$D$21,EK$19)*64)+EG$76*10+EI81,"0")))</f>
        <v>10.0.43.226</v>
      </c>
      <c r="EM81" s="100">
        <f t="shared" si="61"/>
        <v>0</v>
      </c>
      <c r="EN81" s="107"/>
    </row>
    <row r="82" spans="1:144">
      <c r="A82" s="322"/>
      <c r="B82" s="102"/>
      <c r="C82" s="55"/>
      <c r="D82" s="330"/>
      <c r="E82" s="63" t="s">
        <v>254</v>
      </c>
      <c r="F82" s="63">
        <v>5</v>
      </c>
      <c r="G82" s="63">
        <v>7</v>
      </c>
      <c r="H82" s="62" t="s">
        <v>320</v>
      </c>
      <c r="I82" s="4" t="str">
        <f>IF(G82=99,"",CONCATENATE("10.0.",TEXT(((BITWISE_AND('IP Address (no mod)'!$D$20,H$19)/4)+G82*8),"0"),".",TEXT((BITWISE_AND('IP Address (no mod)'!$D$21,H$19)*64)+D$76*10+F82,"0")))</f>
        <v>10.0.56.99</v>
      </c>
      <c r="J82" s="100">
        <f t="shared" si="47"/>
        <v>0</v>
      </c>
      <c r="K82" s="106"/>
      <c r="L82" s="55"/>
      <c r="M82" s="330"/>
      <c r="N82" s="63" t="s">
        <v>254</v>
      </c>
      <c r="O82" s="63">
        <v>5</v>
      </c>
      <c r="P82" s="63">
        <v>7</v>
      </c>
      <c r="Q82" s="64" t="s">
        <v>312</v>
      </c>
      <c r="R82" s="4" t="str">
        <f>IF(P82=99,"",CONCATENATE("10.0.",TEXT(((BITWISE_AND('IP Address (no mod)'!$D$20,Q$19)/4)+P82*8),"0"),".",TEXT((BITWISE_AND('IP Address (no mod)'!$D$21,Q$19)*64)+M$76*10+O82,"0")))</f>
        <v>10.0.56.163</v>
      </c>
      <c r="S82" s="100">
        <f t="shared" si="48"/>
        <v>0</v>
      </c>
      <c r="T82" s="106"/>
      <c r="U82" s="55"/>
      <c r="V82" s="330"/>
      <c r="W82" s="63" t="s">
        <v>254</v>
      </c>
      <c r="X82" s="63">
        <v>5</v>
      </c>
      <c r="Y82" s="63">
        <v>7</v>
      </c>
      <c r="Z82" s="64" t="s">
        <v>312</v>
      </c>
      <c r="AA82" s="4" t="str">
        <f>IF(Y82=99,"",CONCATENATE("10.0.",TEXT(((BITWISE_AND('IP Address (no mod)'!$D$20,Z$19)/4)+Y82*8),"0"),".",TEXT((BITWISE_AND('IP Address (no mod)'!$D$21,Z$19)*64)+V$76*10+X82,"0")))</f>
        <v>10.0.56.227</v>
      </c>
      <c r="AB82" s="100">
        <f t="shared" si="49"/>
        <v>0</v>
      </c>
      <c r="AC82" s="106"/>
      <c r="AD82" s="55"/>
      <c r="AE82" s="330"/>
      <c r="AF82" s="63" t="s">
        <v>254</v>
      </c>
      <c r="AG82" s="63">
        <v>5</v>
      </c>
      <c r="AH82" s="63">
        <v>7</v>
      </c>
      <c r="AI82" s="64" t="s">
        <v>312</v>
      </c>
      <c r="AJ82" s="4" t="str">
        <f>IF(AH82=99,"",CONCATENATE("10.0.",TEXT(((BITWISE_AND('IP Address (no mod)'!$D$20,AI$19)/4)+AH82*8),"0"),".",TEXT((BITWISE_AND('IP Address (no mod)'!$D$21,AI$19)*64)+AE$76*10+AG82,"0")))</f>
        <v>10.0.61.163</v>
      </c>
      <c r="AK82" s="100">
        <f t="shared" si="50"/>
        <v>0</v>
      </c>
      <c r="AL82" s="66"/>
      <c r="AM82" s="66"/>
      <c r="AN82" s="66"/>
      <c r="AO82" s="66"/>
      <c r="AP82" s="1"/>
      <c r="AQ82" s="66"/>
      <c r="AR82" s="59"/>
      <c r="AS82" s="106"/>
      <c r="AT82" s="55"/>
      <c r="AU82" s="330"/>
      <c r="AV82" s="63" t="s">
        <v>254</v>
      </c>
      <c r="AW82" s="63">
        <v>5</v>
      </c>
      <c r="AX82" s="63">
        <v>7</v>
      </c>
      <c r="AY82" s="64" t="s">
        <v>312</v>
      </c>
      <c r="AZ82" s="4" t="str">
        <f>IF(AX82=99,"",CONCATENATE("10.0.",TEXT(((BITWISE_AND('IP Address (no mod)'!$D$20,AY$19)/4)+AX82*8),"0"),".",TEXT((BITWISE_AND('IP Address (no mod)'!$D$21,AY$19)*64)+AU$76*10+AW82,"0")))</f>
        <v>10.0.57.99</v>
      </c>
      <c r="BA82" s="100">
        <f t="shared" si="51"/>
        <v>0</v>
      </c>
      <c r="BB82" s="106"/>
      <c r="BC82" s="55"/>
      <c r="BD82" s="330"/>
      <c r="BE82" s="63" t="s">
        <v>254</v>
      </c>
      <c r="BF82" s="63">
        <v>5</v>
      </c>
      <c r="BG82" s="63">
        <v>7</v>
      </c>
      <c r="BH82" s="64" t="s">
        <v>312</v>
      </c>
      <c r="BI82" s="4" t="str">
        <f>IF(BG82=99,"",CONCATENATE("10.0.",TEXT(((BITWISE_AND('IP Address (no mod)'!$D$20,BH$19)/4)+BG82*8),"0"),".",TEXT((BITWISE_AND('IP Address (no mod)'!$D$21,BH$19)*64)+BD$76*10+BF82,"0")))</f>
        <v>10.0.57.163</v>
      </c>
      <c r="BJ82" s="100">
        <f t="shared" si="52"/>
        <v>0</v>
      </c>
      <c r="BK82" s="106"/>
      <c r="BL82" s="55"/>
      <c r="BM82" s="330"/>
      <c r="BN82" s="63" t="s">
        <v>254</v>
      </c>
      <c r="BO82" s="63">
        <v>5</v>
      </c>
      <c r="BP82" s="63">
        <v>7</v>
      </c>
      <c r="BQ82" s="64" t="s">
        <v>312</v>
      </c>
      <c r="BR82" s="4" t="str">
        <f>IF(BP82=99,"",CONCATENATE("10.0.",TEXT(((BITWISE_AND('IP Address (no mod)'!$D$20,BQ$19)/4)+BP82*8),"0"),".",TEXT((BITWISE_AND('IP Address (no mod)'!$D$21,BQ$19)*64)+BM$76*10+BO82,"0")))</f>
        <v>10.0.57.227</v>
      </c>
      <c r="BS82" s="100">
        <f t="shared" si="53"/>
        <v>0</v>
      </c>
      <c r="BT82" s="106"/>
      <c r="BU82" s="55"/>
      <c r="BV82" s="330"/>
      <c r="BW82" s="63" t="s">
        <v>254</v>
      </c>
      <c r="BX82" s="63">
        <v>5</v>
      </c>
      <c r="BY82" s="63">
        <v>7</v>
      </c>
      <c r="BZ82" s="64" t="s">
        <v>312</v>
      </c>
      <c r="CA82" s="4" t="str">
        <f>IF(BY82=99,"",CONCATENATE("10.0.",TEXT(((BITWISE_AND('IP Address (no mod)'!$D$20,BZ$19)/4)+BY82*8),"0"),".",TEXT((BITWISE_AND('IP Address (no mod)'!$D$21,BZ$19)*64)+BV$76*10+BX82,"0")))</f>
        <v>10.0.58.35</v>
      </c>
      <c r="CB82" s="100">
        <f t="shared" si="54"/>
        <v>0</v>
      </c>
      <c r="CC82" s="106"/>
      <c r="CD82" s="55"/>
      <c r="CE82" s="330"/>
      <c r="CF82" s="63" t="s">
        <v>254</v>
      </c>
      <c r="CG82" s="63">
        <v>5</v>
      </c>
      <c r="CH82" s="63">
        <v>7</v>
      </c>
      <c r="CI82" s="64" t="s">
        <v>312</v>
      </c>
      <c r="CJ82" s="4" t="str">
        <f>IF(CH82=99,"",CONCATENATE("10.0.",TEXT(((BITWISE_AND('IP Address (no mod)'!$D$20,CI$19)/4)+CH82*8),"0"),".",TEXT((BITWISE_AND('IP Address (no mod)'!$D$21,CI$19)*64)+CE$76*10+CG82,"0")))</f>
        <v>10.0.58.99</v>
      </c>
      <c r="CK82" s="100">
        <f t="shared" si="55"/>
        <v>0</v>
      </c>
      <c r="CL82" s="106"/>
      <c r="CM82" s="55"/>
      <c r="CN82" s="330"/>
      <c r="CO82" s="63" t="s">
        <v>254</v>
      </c>
      <c r="CP82" s="63">
        <v>5</v>
      </c>
      <c r="CQ82" s="63">
        <v>7</v>
      </c>
      <c r="CR82" s="64" t="s">
        <v>312</v>
      </c>
      <c r="CS82" s="4" t="str">
        <f>IF(CQ82=99,"",CONCATENATE("10.0.",TEXT(((BITWISE_AND('IP Address (no mod)'!$D$20,CR$19)/4)+CQ82*8),"0"),".",TEXT((BITWISE_AND('IP Address (no mod)'!$D$21,CR$19)*64)+CN$76*10+CP82,"0")))</f>
        <v>10.0.58.163</v>
      </c>
      <c r="CT82" s="100">
        <f t="shared" si="56"/>
        <v>0</v>
      </c>
      <c r="CU82" s="106"/>
      <c r="CV82" s="55"/>
      <c r="CW82" s="330"/>
      <c r="CX82" s="63" t="s">
        <v>254</v>
      </c>
      <c r="CY82" s="63">
        <v>5</v>
      </c>
      <c r="CZ82" s="63">
        <v>7</v>
      </c>
      <c r="DA82" s="64" t="s">
        <v>312</v>
      </c>
      <c r="DB82" s="4" t="str">
        <f>IF(CZ82=99,"",CONCATENATE("10.0.",TEXT(((BITWISE_AND('IP Address (no mod)'!$D$20,DA$19)/4)+CZ82*8),"0"),".",TEXT((BITWISE_AND('IP Address (no mod)'!$D$21,DA$19)*64)+CW$76*10+CY82,"0")))</f>
        <v>10.0.58.227</v>
      </c>
      <c r="DC82" s="100">
        <f t="shared" si="57"/>
        <v>0</v>
      </c>
      <c r="DD82" s="106"/>
      <c r="DE82" s="55"/>
      <c r="DF82" s="330"/>
      <c r="DG82" s="63" t="s">
        <v>254</v>
      </c>
      <c r="DH82" s="63">
        <v>5</v>
      </c>
      <c r="DI82" s="63">
        <v>7</v>
      </c>
      <c r="DJ82" s="64" t="s">
        <v>312</v>
      </c>
      <c r="DK82" s="4" t="str">
        <f>IF(DI82=99,"",CONCATENATE("10.0.",TEXT(((BITWISE_AND('IP Address (no mod)'!$D$20,DJ$19)/4)+DI82*8),"0"),".",TEXT((BITWISE_AND('IP Address (no mod)'!$D$21,DJ$19)*64)+DF$76*10+DH82,"0")))</f>
        <v>10.0.59.35</v>
      </c>
      <c r="DL82" s="100">
        <f t="shared" si="58"/>
        <v>0</v>
      </c>
      <c r="DM82" s="106"/>
      <c r="DN82" s="55"/>
      <c r="DO82" s="330"/>
      <c r="DP82" s="63" t="s">
        <v>254</v>
      </c>
      <c r="DQ82" s="63">
        <v>5</v>
      </c>
      <c r="DR82" s="63">
        <v>7</v>
      </c>
      <c r="DS82" s="64" t="s">
        <v>312</v>
      </c>
      <c r="DT82" s="4" t="str">
        <f>IF(DR82=99,"",CONCATENATE("10.0.",TEXT(((BITWISE_AND('IP Address (no mod)'!$D$20,DS$19)/4)+DR82*8),"0"),".",TEXT((BITWISE_AND('IP Address (no mod)'!$D$21,DS$19)*64)+DO$76*10+DQ82,"0")))</f>
        <v>10.0.59.99</v>
      </c>
      <c r="DU82" s="100">
        <f t="shared" si="59"/>
        <v>0</v>
      </c>
      <c r="DV82" s="98"/>
      <c r="DW82" s="55"/>
      <c r="DX82" s="330"/>
      <c r="DY82" s="63" t="s">
        <v>254</v>
      </c>
      <c r="DZ82" s="63">
        <v>5</v>
      </c>
      <c r="EA82" s="63">
        <v>7</v>
      </c>
      <c r="EB82" s="64" t="s">
        <v>312</v>
      </c>
      <c r="EC82" s="4" t="str">
        <f>IF(EA82=99,"",CONCATENATE("10.0.",TEXT(((BITWISE_AND('IP Address (no mod)'!$D$20,EB$19)/4)+EA82*8),"0"),".",TEXT((BITWISE_AND('IP Address (no mod)'!$D$21,EB$19)*64)+DX$76*10+DZ82,"0")))</f>
        <v>10.0.59.163</v>
      </c>
      <c r="ED82" s="100">
        <f t="shared" si="60"/>
        <v>0</v>
      </c>
      <c r="EE82" s="106"/>
      <c r="EF82" s="55"/>
      <c r="EG82" s="330"/>
      <c r="EH82" s="63" t="s">
        <v>254</v>
      </c>
      <c r="EI82" s="63">
        <v>5</v>
      </c>
      <c r="EJ82" s="63">
        <v>7</v>
      </c>
      <c r="EK82" s="62" t="s">
        <v>320</v>
      </c>
      <c r="EL82" s="4" t="str">
        <f>IF(EJ82=99,"",CONCATENATE("10.0.",TEXT(((BITWISE_AND('IP Address (no mod)'!$D$20,EK$19)/4)+EJ82*8),"0"),".",TEXT((BITWISE_AND('IP Address (no mod)'!$D$21,EK$19)*64)+EG$76*10+EI82,"0")))</f>
        <v>10.0.59.227</v>
      </c>
      <c r="EM82" s="100">
        <f t="shared" si="61"/>
        <v>0</v>
      </c>
      <c r="EN82" s="107"/>
    </row>
    <row r="83" spans="1:144">
      <c r="A83" s="322"/>
      <c r="B83" s="102"/>
      <c r="C83" s="55"/>
      <c r="D83" s="330"/>
      <c r="E83" s="63" t="s">
        <v>257</v>
      </c>
      <c r="F83" s="63">
        <v>6</v>
      </c>
      <c r="G83" s="63">
        <v>7</v>
      </c>
      <c r="H83" s="64" t="s">
        <v>321</v>
      </c>
      <c r="I83" s="4" t="str">
        <f>IF(G83=99,"",CONCATENATE("10.0.",TEXT(((BITWISE_AND('IP Address (no mod)'!$D$20,H$19)/4)+G83*8),"0"),".",TEXT((BITWISE_AND('IP Address (no mod)'!$D$21,H$19)*64)+D$76*10+F83,"0")))</f>
        <v>10.0.56.100</v>
      </c>
      <c r="J83" s="100">
        <f t="shared" si="47"/>
        <v>0</v>
      </c>
      <c r="K83" s="106"/>
      <c r="L83" s="55"/>
      <c r="M83" s="330"/>
      <c r="N83" s="63" t="s">
        <v>257</v>
      </c>
      <c r="O83" s="63">
        <v>6</v>
      </c>
      <c r="P83" s="63">
        <v>7</v>
      </c>
      <c r="Q83" s="64" t="s">
        <v>316</v>
      </c>
      <c r="R83" s="4" t="str">
        <f>IF(P83=99,"",CONCATENATE("10.0.",TEXT(((BITWISE_AND('IP Address (no mod)'!$D$20,Q$19)/4)+P83*8),"0"),".",TEXT((BITWISE_AND('IP Address (no mod)'!$D$21,Q$19)*64)+M$76*10+O83,"0")))</f>
        <v>10.0.56.164</v>
      </c>
      <c r="S83" s="100">
        <f t="shared" si="48"/>
        <v>0</v>
      </c>
      <c r="T83" s="106"/>
      <c r="U83" s="55"/>
      <c r="V83" s="330"/>
      <c r="W83" s="63" t="s">
        <v>257</v>
      </c>
      <c r="X83" s="63">
        <v>6</v>
      </c>
      <c r="Y83" s="63">
        <v>7</v>
      </c>
      <c r="Z83" s="64" t="s">
        <v>324</v>
      </c>
      <c r="AA83" s="4" t="str">
        <f>IF(Y83=99,"",CONCATENATE("10.0.",TEXT(((BITWISE_AND('IP Address (no mod)'!$D$20,Z$19)/4)+Y83*8),"0"),".",TEXT((BITWISE_AND('IP Address (no mod)'!$D$21,Z$19)*64)+V$76*10+X83,"0")))</f>
        <v>10.0.56.228</v>
      </c>
      <c r="AB83" s="100">
        <f t="shared" si="49"/>
        <v>0</v>
      </c>
      <c r="AC83" s="106"/>
      <c r="AD83" s="55"/>
      <c r="AE83" s="330"/>
      <c r="AF83" s="63" t="s">
        <v>257</v>
      </c>
      <c r="AG83" s="63">
        <v>6</v>
      </c>
      <c r="AH83" s="63">
        <v>7</v>
      </c>
      <c r="AI83" s="64" t="s">
        <v>316</v>
      </c>
      <c r="AJ83" s="4" t="str">
        <f>IF(AH83=99,"",CONCATENATE("10.0.",TEXT(((BITWISE_AND('IP Address (no mod)'!$D$20,AI$19)/4)+AH83*8),"0"),".",TEXT((BITWISE_AND('IP Address (no mod)'!$D$21,AI$19)*64)+AE$76*10+AG83,"0")))</f>
        <v>10.0.61.164</v>
      </c>
      <c r="AK83" s="100">
        <f t="shared" si="50"/>
        <v>0</v>
      </c>
      <c r="AL83" s="66"/>
      <c r="AM83" s="66"/>
      <c r="AN83" s="66"/>
      <c r="AO83" s="66"/>
      <c r="AP83" s="66"/>
      <c r="AQ83" s="66"/>
      <c r="AR83" s="59"/>
      <c r="AS83" s="106"/>
      <c r="AT83" s="55"/>
      <c r="AU83" s="330"/>
      <c r="AV83" s="63" t="s">
        <v>257</v>
      </c>
      <c r="AW83" s="63">
        <v>6</v>
      </c>
      <c r="AX83" s="63">
        <v>7</v>
      </c>
      <c r="AY83" s="64" t="s">
        <v>324</v>
      </c>
      <c r="AZ83" s="4" t="str">
        <f>IF(AX83=99,"",CONCATENATE("10.0.",TEXT(((BITWISE_AND('IP Address (no mod)'!$D$20,AY$19)/4)+AX83*8),"0"),".",TEXT((BITWISE_AND('IP Address (no mod)'!$D$21,AY$19)*64)+AU$76*10+AW83,"0")))</f>
        <v>10.0.57.100</v>
      </c>
      <c r="BA83" s="100">
        <f t="shared" si="51"/>
        <v>0</v>
      </c>
      <c r="BB83" s="106"/>
      <c r="BC83" s="55"/>
      <c r="BD83" s="330"/>
      <c r="BE83" s="63" t="s">
        <v>257</v>
      </c>
      <c r="BF83" s="63">
        <v>6</v>
      </c>
      <c r="BG83" s="63">
        <v>7</v>
      </c>
      <c r="BH83" s="64" t="s">
        <v>316</v>
      </c>
      <c r="BI83" s="4" t="str">
        <f>IF(BG83=99,"",CONCATENATE("10.0.",TEXT(((BITWISE_AND('IP Address (no mod)'!$D$20,BH$19)/4)+BG83*8),"0"),".",TEXT((BITWISE_AND('IP Address (no mod)'!$D$21,BH$19)*64)+BD$76*10+BF83,"0")))</f>
        <v>10.0.57.164</v>
      </c>
      <c r="BJ83" s="100">
        <f t="shared" si="52"/>
        <v>0</v>
      </c>
      <c r="BK83" s="106"/>
      <c r="BL83" s="55"/>
      <c r="BM83" s="330"/>
      <c r="BN83" s="63" t="s">
        <v>257</v>
      </c>
      <c r="BO83" s="63">
        <v>6</v>
      </c>
      <c r="BP83" s="63">
        <v>7</v>
      </c>
      <c r="BQ83" s="64" t="s">
        <v>324</v>
      </c>
      <c r="BR83" s="4" t="str">
        <f>IF(BP83=99,"",CONCATENATE("10.0.",TEXT(((BITWISE_AND('IP Address (no mod)'!$D$20,BQ$19)/4)+BP83*8),"0"),".",TEXT((BITWISE_AND('IP Address (no mod)'!$D$21,BQ$19)*64)+BM$76*10+BO83,"0")))</f>
        <v>10.0.57.228</v>
      </c>
      <c r="BS83" s="100">
        <f t="shared" si="53"/>
        <v>0</v>
      </c>
      <c r="BT83" s="106"/>
      <c r="BU83" s="55"/>
      <c r="BV83" s="330"/>
      <c r="BW83" s="63" t="s">
        <v>257</v>
      </c>
      <c r="BX83" s="63">
        <v>6</v>
      </c>
      <c r="BY83" s="63">
        <v>7</v>
      </c>
      <c r="BZ83" s="64" t="s">
        <v>316</v>
      </c>
      <c r="CA83" s="4" t="str">
        <f>IF(BY83=99,"",CONCATENATE("10.0.",TEXT(((BITWISE_AND('IP Address (no mod)'!$D$20,BZ$19)/4)+BY83*8),"0"),".",TEXT((BITWISE_AND('IP Address (no mod)'!$D$21,BZ$19)*64)+BV$76*10+BX83,"0")))</f>
        <v>10.0.58.36</v>
      </c>
      <c r="CB83" s="100">
        <f t="shared" si="54"/>
        <v>0</v>
      </c>
      <c r="CC83" s="106"/>
      <c r="CD83" s="55"/>
      <c r="CE83" s="330"/>
      <c r="CF83" s="63" t="s">
        <v>257</v>
      </c>
      <c r="CG83" s="63">
        <v>6</v>
      </c>
      <c r="CH83" s="63">
        <v>7</v>
      </c>
      <c r="CI83" s="64" t="s">
        <v>324</v>
      </c>
      <c r="CJ83" s="4" t="str">
        <f>IF(CH83=99,"",CONCATENATE("10.0.",TEXT(((BITWISE_AND('IP Address (no mod)'!$D$20,CI$19)/4)+CH83*8),"0"),".",TEXT((BITWISE_AND('IP Address (no mod)'!$D$21,CI$19)*64)+CE$76*10+CG83,"0")))</f>
        <v>10.0.58.100</v>
      </c>
      <c r="CK83" s="100">
        <f t="shared" si="55"/>
        <v>0</v>
      </c>
      <c r="CL83" s="106"/>
      <c r="CM83" s="55"/>
      <c r="CN83" s="330"/>
      <c r="CO83" s="63" t="s">
        <v>257</v>
      </c>
      <c r="CP83" s="63">
        <v>6</v>
      </c>
      <c r="CQ83" s="63">
        <v>7</v>
      </c>
      <c r="CR83" s="64" t="s">
        <v>316</v>
      </c>
      <c r="CS83" s="4" t="str">
        <f>IF(CQ83=99,"",CONCATENATE("10.0.",TEXT(((BITWISE_AND('IP Address (no mod)'!$D$20,CR$19)/4)+CQ83*8),"0"),".",TEXT((BITWISE_AND('IP Address (no mod)'!$D$21,CR$19)*64)+CN$76*10+CP83,"0")))</f>
        <v>10.0.58.164</v>
      </c>
      <c r="CT83" s="100">
        <f t="shared" si="56"/>
        <v>0</v>
      </c>
      <c r="CU83" s="106"/>
      <c r="CV83" s="55"/>
      <c r="CW83" s="330"/>
      <c r="CX83" s="63" t="s">
        <v>257</v>
      </c>
      <c r="CY83" s="63">
        <v>6</v>
      </c>
      <c r="CZ83" s="63">
        <v>7</v>
      </c>
      <c r="DA83" s="64" t="s">
        <v>324</v>
      </c>
      <c r="DB83" s="4" t="str">
        <f>IF(CZ83=99,"",CONCATENATE("10.0.",TEXT(((BITWISE_AND('IP Address (no mod)'!$D$20,DA$19)/4)+CZ83*8),"0"),".",TEXT((BITWISE_AND('IP Address (no mod)'!$D$21,DA$19)*64)+CW$76*10+CY83,"0")))</f>
        <v>10.0.58.228</v>
      </c>
      <c r="DC83" s="100">
        <f t="shared" si="57"/>
        <v>0</v>
      </c>
      <c r="DD83" s="106"/>
      <c r="DE83" s="55"/>
      <c r="DF83" s="330"/>
      <c r="DG83" s="63" t="s">
        <v>257</v>
      </c>
      <c r="DH83" s="63">
        <v>6</v>
      </c>
      <c r="DI83" s="63">
        <v>7</v>
      </c>
      <c r="DJ83" s="64" t="s">
        <v>316</v>
      </c>
      <c r="DK83" s="4" t="str">
        <f>IF(DI83=99,"",CONCATENATE("10.0.",TEXT(((BITWISE_AND('IP Address (no mod)'!$D$20,DJ$19)/4)+DI83*8),"0"),".",TEXT((BITWISE_AND('IP Address (no mod)'!$D$21,DJ$19)*64)+DF$76*10+DH83,"0")))</f>
        <v>10.0.59.36</v>
      </c>
      <c r="DL83" s="100">
        <f t="shared" si="58"/>
        <v>0</v>
      </c>
      <c r="DM83" s="106"/>
      <c r="DN83" s="55"/>
      <c r="DO83" s="330"/>
      <c r="DP83" s="63" t="s">
        <v>257</v>
      </c>
      <c r="DQ83" s="63">
        <v>6</v>
      </c>
      <c r="DR83" s="63">
        <v>7</v>
      </c>
      <c r="DS83" s="64" t="s">
        <v>324</v>
      </c>
      <c r="DT83" s="4" t="str">
        <f>IF(DR83=99,"",CONCATENATE("10.0.",TEXT(((BITWISE_AND('IP Address (no mod)'!$D$20,DS$19)/4)+DR83*8),"0"),".",TEXT((BITWISE_AND('IP Address (no mod)'!$D$21,DS$19)*64)+DO$76*10+DQ83,"0")))</f>
        <v>10.0.59.100</v>
      </c>
      <c r="DU83" s="100">
        <f t="shared" si="59"/>
        <v>0</v>
      </c>
      <c r="DV83" s="98"/>
      <c r="DW83" s="55"/>
      <c r="DX83" s="330"/>
      <c r="DY83" s="63" t="s">
        <v>257</v>
      </c>
      <c r="DZ83" s="63">
        <v>6</v>
      </c>
      <c r="EA83" s="63">
        <v>7</v>
      </c>
      <c r="EB83" s="64" t="s">
        <v>316</v>
      </c>
      <c r="EC83" s="4" t="str">
        <f>IF(EA83=99,"",CONCATENATE("10.0.",TEXT(((BITWISE_AND('IP Address (no mod)'!$D$20,EB$19)/4)+EA83*8),"0"),".",TEXT((BITWISE_AND('IP Address (no mod)'!$D$21,EB$19)*64)+DX$76*10+DZ83,"0")))</f>
        <v>10.0.59.164</v>
      </c>
      <c r="ED83" s="100">
        <f t="shared" si="60"/>
        <v>0</v>
      </c>
      <c r="EE83" s="106"/>
      <c r="EF83" s="55"/>
      <c r="EG83" s="330"/>
      <c r="EH83" s="63" t="s">
        <v>257</v>
      </c>
      <c r="EI83" s="63">
        <v>6</v>
      </c>
      <c r="EJ83" s="63">
        <v>7</v>
      </c>
      <c r="EK83" s="64" t="s">
        <v>321</v>
      </c>
      <c r="EL83" s="4" t="str">
        <f>IF(EJ83=99,"",CONCATENATE("10.0.",TEXT(((BITWISE_AND('IP Address (no mod)'!$D$20,EK$19)/4)+EJ83*8),"0"),".",TEXT((BITWISE_AND('IP Address (no mod)'!$D$21,EK$19)*64)+EG$76*10+EI83,"0")))</f>
        <v>10.0.59.228</v>
      </c>
      <c r="EM83" s="100">
        <f t="shared" si="61"/>
        <v>0</v>
      </c>
      <c r="EN83" s="107"/>
    </row>
    <row r="84" spans="1:144">
      <c r="A84" s="322"/>
      <c r="B84" s="102"/>
      <c r="C84" s="55"/>
      <c r="D84" s="330"/>
      <c r="E84" s="63" t="s">
        <v>259</v>
      </c>
      <c r="F84" s="63">
        <v>7</v>
      </c>
      <c r="G84" s="63">
        <v>7</v>
      </c>
      <c r="H84" s="64" t="s">
        <v>93</v>
      </c>
      <c r="I84" s="4" t="str">
        <f>IF(G84=99,"",CONCATENATE("10.0.",TEXT(((BITWISE_AND('IP Address (no mod)'!$D$20,H$19)/4)+G84*8),"0"),".",TEXT((BITWISE_AND('IP Address (no mod)'!$D$21,H$19)*64)+D$76*10+F84,"0")))</f>
        <v>10.0.56.101</v>
      </c>
      <c r="J84" s="100">
        <f t="shared" si="47"/>
        <v>0</v>
      </c>
      <c r="K84" s="106"/>
      <c r="L84" s="55"/>
      <c r="M84" s="330"/>
      <c r="N84" s="63" t="s">
        <v>259</v>
      </c>
      <c r="O84" s="63">
        <v>7</v>
      </c>
      <c r="P84" s="63">
        <v>99</v>
      </c>
      <c r="Q84" s="64"/>
      <c r="R84" s="4" t="str">
        <f>IF(P84=99,"",CONCATENATE("10.0.",TEXT(((BITWISE_AND('IP Address (no mod)'!$D$20,Q$19)/4)+P84*8),"0"),".",TEXT((BITWISE_AND('IP Address (no mod)'!$D$21,Q$19)*64)+M$76*10+O84,"0")))</f>
        <v/>
      </c>
      <c r="S84" s="100">
        <f t="shared" si="48"/>
        <v>0</v>
      </c>
      <c r="T84" s="106"/>
      <c r="U84" s="55"/>
      <c r="V84" s="330"/>
      <c r="W84" s="63" t="s">
        <v>259</v>
      </c>
      <c r="X84" s="63">
        <v>7</v>
      </c>
      <c r="Y84" s="63">
        <v>7</v>
      </c>
      <c r="Z84" s="64" t="s">
        <v>316</v>
      </c>
      <c r="AA84" s="4" t="str">
        <f>IF(Y84=99,"",CONCATENATE("10.0.",TEXT(((BITWISE_AND('IP Address (no mod)'!$D$20,Z$19)/4)+Y84*8),"0"),".",TEXT((BITWISE_AND('IP Address (no mod)'!$D$21,Z$19)*64)+V$76*10+X84,"0")))</f>
        <v>10.0.56.229</v>
      </c>
      <c r="AB84" s="100">
        <f t="shared" si="49"/>
        <v>0</v>
      </c>
      <c r="AC84" s="106"/>
      <c r="AD84" s="55"/>
      <c r="AE84" s="330"/>
      <c r="AF84" s="63" t="s">
        <v>259</v>
      </c>
      <c r="AG84" s="63">
        <v>7</v>
      </c>
      <c r="AH84" s="63">
        <v>99</v>
      </c>
      <c r="AI84" s="64"/>
      <c r="AJ84" s="4" t="str">
        <f>IF(AH84=99,"",CONCATENATE("10.0.",TEXT(((BITWISE_AND('IP Address (no mod)'!$D$20,AI$19)/4)+AH84*8),"0"),".",TEXT((BITWISE_AND('IP Address (no mod)'!$D$21,AI$19)*64)+AE$76*10+AG84,"0")))</f>
        <v/>
      </c>
      <c r="AK84" s="100">
        <f t="shared" si="50"/>
        <v>0</v>
      </c>
      <c r="AL84" s="66"/>
      <c r="AM84" s="66"/>
      <c r="AN84" s="66"/>
      <c r="AO84" s="66"/>
      <c r="AP84" s="66"/>
      <c r="AQ84" s="66"/>
      <c r="AR84" s="59"/>
      <c r="AS84" s="106"/>
      <c r="AT84" s="55"/>
      <c r="AU84" s="330"/>
      <c r="AV84" s="63" t="s">
        <v>259</v>
      </c>
      <c r="AW84" s="63">
        <v>7</v>
      </c>
      <c r="AX84" s="63">
        <v>7</v>
      </c>
      <c r="AY84" s="64" t="s">
        <v>316</v>
      </c>
      <c r="AZ84" s="4" t="str">
        <f>IF(AX84=99,"",CONCATENATE("10.0.",TEXT(((BITWISE_AND('IP Address (no mod)'!$D$20,AY$19)/4)+AX84*8),"0"),".",TEXT((BITWISE_AND('IP Address (no mod)'!$D$21,AY$19)*64)+AU$76*10+AW84,"0")))</f>
        <v>10.0.57.101</v>
      </c>
      <c r="BA84" s="100">
        <f t="shared" si="51"/>
        <v>0</v>
      </c>
      <c r="BB84" s="106"/>
      <c r="BC84" s="55"/>
      <c r="BD84" s="330"/>
      <c r="BE84" s="63" t="s">
        <v>259</v>
      </c>
      <c r="BF84" s="63">
        <v>7</v>
      </c>
      <c r="BG84" s="63">
        <v>99</v>
      </c>
      <c r="BH84" s="64"/>
      <c r="BI84" s="4" t="str">
        <f>IF(BG84=99,"",CONCATENATE("10.0.",TEXT(((BITWISE_AND('IP Address (no mod)'!$D$20,BH$19)/4)+BG84*8),"0"),".",TEXT((BITWISE_AND('IP Address (no mod)'!$D$21,BH$19)*64)+BD$76*10+BF84,"0")))</f>
        <v/>
      </c>
      <c r="BJ84" s="100">
        <f t="shared" si="52"/>
        <v>0</v>
      </c>
      <c r="BK84" s="106"/>
      <c r="BL84" s="55"/>
      <c r="BM84" s="330"/>
      <c r="BN84" s="63" t="s">
        <v>259</v>
      </c>
      <c r="BO84" s="63">
        <v>7</v>
      </c>
      <c r="BP84" s="63">
        <v>7</v>
      </c>
      <c r="BQ84" s="64" t="s">
        <v>316</v>
      </c>
      <c r="BR84" s="4" t="str">
        <f>IF(BP84=99,"",CONCATENATE("10.0.",TEXT(((BITWISE_AND('IP Address (no mod)'!$D$20,BQ$19)/4)+BP84*8),"0"),".",TEXT((BITWISE_AND('IP Address (no mod)'!$D$21,BQ$19)*64)+BM$76*10+BO84,"0")))</f>
        <v>10.0.57.229</v>
      </c>
      <c r="BS84" s="100">
        <f t="shared" si="53"/>
        <v>0</v>
      </c>
      <c r="BT84" s="106"/>
      <c r="BU84" s="55"/>
      <c r="BV84" s="330"/>
      <c r="BW84" s="63" t="s">
        <v>259</v>
      </c>
      <c r="BX84" s="63">
        <v>7</v>
      </c>
      <c r="BY84" s="63">
        <v>99</v>
      </c>
      <c r="BZ84" s="64"/>
      <c r="CA84" s="4" t="str">
        <f>IF(BY84=99,"",CONCATENATE("10.0.",TEXT(((BITWISE_AND('IP Address (no mod)'!$D$20,BZ$19)/4)+BY84*8),"0"),".",TEXT((BITWISE_AND('IP Address (no mod)'!$D$21,BZ$19)*64)+BV$76*10+BX84,"0")))</f>
        <v/>
      </c>
      <c r="CB84" s="100">
        <f t="shared" si="54"/>
        <v>0</v>
      </c>
      <c r="CC84" s="106"/>
      <c r="CD84" s="55"/>
      <c r="CE84" s="330"/>
      <c r="CF84" s="63" t="s">
        <v>259</v>
      </c>
      <c r="CG84" s="63">
        <v>7</v>
      </c>
      <c r="CH84" s="63">
        <v>7</v>
      </c>
      <c r="CI84" s="64" t="s">
        <v>316</v>
      </c>
      <c r="CJ84" s="4" t="str">
        <f>IF(CH84=99,"",CONCATENATE("10.0.",TEXT(((BITWISE_AND('IP Address (no mod)'!$D$20,CI$19)/4)+CH84*8),"0"),".",TEXT((BITWISE_AND('IP Address (no mod)'!$D$21,CI$19)*64)+CE$76*10+CG84,"0")))</f>
        <v>10.0.58.101</v>
      </c>
      <c r="CK84" s="100">
        <f t="shared" si="55"/>
        <v>0</v>
      </c>
      <c r="CL84" s="106"/>
      <c r="CM84" s="55"/>
      <c r="CN84" s="330"/>
      <c r="CO84" s="63" t="s">
        <v>259</v>
      </c>
      <c r="CP84" s="63">
        <v>7</v>
      </c>
      <c r="CQ84" s="63">
        <v>99</v>
      </c>
      <c r="CR84" s="64"/>
      <c r="CS84" s="4" t="str">
        <f>IF(CQ84=99,"",CONCATENATE("10.0.",TEXT(((BITWISE_AND('IP Address (no mod)'!$D$20,CR$19)/4)+CQ84*8),"0"),".",TEXT((BITWISE_AND('IP Address (no mod)'!$D$21,CR$19)*64)+CN$76*10+CP84,"0")))</f>
        <v/>
      </c>
      <c r="CT84" s="100">
        <f t="shared" si="56"/>
        <v>0</v>
      </c>
      <c r="CU84" s="106"/>
      <c r="CV84" s="55"/>
      <c r="CW84" s="330"/>
      <c r="CX84" s="63" t="s">
        <v>259</v>
      </c>
      <c r="CY84" s="63">
        <v>7</v>
      </c>
      <c r="CZ84" s="63">
        <v>7</v>
      </c>
      <c r="DA84" s="64" t="s">
        <v>316</v>
      </c>
      <c r="DB84" s="4" t="str">
        <f>IF(CZ84=99,"",CONCATENATE("10.0.",TEXT(((BITWISE_AND('IP Address (no mod)'!$D$20,DA$19)/4)+CZ84*8),"0"),".",TEXT((BITWISE_AND('IP Address (no mod)'!$D$21,DA$19)*64)+CW$76*10+CY84,"0")))</f>
        <v>10.0.58.229</v>
      </c>
      <c r="DC84" s="100">
        <f t="shared" si="57"/>
        <v>0</v>
      </c>
      <c r="DD84" s="106"/>
      <c r="DE84" s="55"/>
      <c r="DF84" s="330"/>
      <c r="DG84" s="63" t="s">
        <v>259</v>
      </c>
      <c r="DH84" s="63">
        <v>7</v>
      </c>
      <c r="DI84" s="63">
        <v>99</v>
      </c>
      <c r="DJ84" s="64"/>
      <c r="DK84" s="4" t="str">
        <f>IF(DI84=99,"",CONCATENATE("10.0.",TEXT(((BITWISE_AND('IP Address (no mod)'!$D$20,DJ$19)/4)+DI84*8),"0"),".",TEXT((BITWISE_AND('IP Address (no mod)'!$D$21,DJ$19)*64)+DF$76*10+DH84,"0")))</f>
        <v/>
      </c>
      <c r="DL84" s="100">
        <f t="shared" si="58"/>
        <v>0</v>
      </c>
      <c r="DM84" s="106"/>
      <c r="DN84" s="55"/>
      <c r="DO84" s="330"/>
      <c r="DP84" s="63" t="s">
        <v>259</v>
      </c>
      <c r="DQ84" s="63">
        <v>7</v>
      </c>
      <c r="DR84" s="63">
        <v>7</v>
      </c>
      <c r="DS84" s="64" t="s">
        <v>316</v>
      </c>
      <c r="DT84" s="4" t="str">
        <f>IF(DR84=99,"",CONCATENATE("10.0.",TEXT(((BITWISE_AND('IP Address (no mod)'!$D$20,DS$19)/4)+DR84*8),"0"),".",TEXT((BITWISE_AND('IP Address (no mod)'!$D$21,DS$19)*64)+DO$76*10+DQ84,"0")))</f>
        <v>10.0.59.101</v>
      </c>
      <c r="DU84" s="100">
        <f t="shared" si="59"/>
        <v>0</v>
      </c>
      <c r="DV84" s="98"/>
      <c r="DW84" s="55"/>
      <c r="DX84" s="330"/>
      <c r="DY84" s="63" t="s">
        <v>259</v>
      </c>
      <c r="DZ84" s="63">
        <v>7</v>
      </c>
      <c r="EA84" s="63">
        <v>99</v>
      </c>
      <c r="EB84" s="64"/>
      <c r="EC84" s="4" t="str">
        <f>IF(EA84=99,"",CONCATENATE("10.0.",TEXT(((BITWISE_AND('IP Address (no mod)'!$D$20,EB$19)/4)+EA84*8),"0"),".",TEXT((BITWISE_AND('IP Address (no mod)'!$D$21,EB$19)*64)+DX$76*10+DZ84,"0")))</f>
        <v/>
      </c>
      <c r="ED84" s="100">
        <f t="shared" si="60"/>
        <v>0</v>
      </c>
      <c r="EE84" s="106"/>
      <c r="EF84" s="55"/>
      <c r="EG84" s="330"/>
      <c r="EH84" s="63" t="s">
        <v>259</v>
      </c>
      <c r="EI84" s="63">
        <v>7</v>
      </c>
      <c r="EJ84" s="63">
        <v>7</v>
      </c>
      <c r="EK84" s="64" t="s">
        <v>93</v>
      </c>
      <c r="EL84" s="4" t="str">
        <f>IF(EJ84=99,"",CONCATENATE("10.0.",TEXT(((BITWISE_AND('IP Address (no mod)'!$D$20,EK$19)/4)+EJ84*8),"0"),".",TEXT((BITWISE_AND('IP Address (no mod)'!$D$21,EK$19)*64)+EG$76*10+EI84,"0")))</f>
        <v>10.0.59.229</v>
      </c>
      <c r="EM84" s="100">
        <f t="shared" si="61"/>
        <v>0</v>
      </c>
      <c r="EN84" s="107"/>
    </row>
    <row r="85" spans="1:144">
      <c r="A85" s="322"/>
      <c r="B85" s="102"/>
      <c r="C85" s="55"/>
      <c r="D85" s="330"/>
      <c r="E85" s="63" t="s">
        <v>325</v>
      </c>
      <c r="F85" s="63">
        <v>8</v>
      </c>
      <c r="G85" s="63">
        <v>99</v>
      </c>
      <c r="H85" s="64"/>
      <c r="I85" s="4" t="str">
        <f>IF(G85=99,"",CONCATENATE("10.0.",TEXT(((BITWISE_AND('IP Address (no mod)'!$D$20,H$19)/4)+G85*8),"0"),".",TEXT((BITWISE_AND('IP Address (no mod)'!$D$21,H$19)*64)+D$76*10+F85,"0")))</f>
        <v/>
      </c>
      <c r="J85" s="100">
        <f t="shared" si="47"/>
        <v>0</v>
      </c>
      <c r="K85" s="106"/>
      <c r="L85" s="55"/>
      <c r="M85" s="330"/>
      <c r="N85" s="8" t="s">
        <v>263</v>
      </c>
      <c r="O85" s="8">
        <v>8</v>
      </c>
      <c r="P85" s="8">
        <v>7</v>
      </c>
      <c r="Q85" s="2" t="s">
        <v>318</v>
      </c>
      <c r="R85" s="5" t="str">
        <f>IF(P85=99,"",CONCATENATE("10.0.",TEXT(((BITWISE_AND('IP Address (no mod)'!$D$20,Q$19)/4)+P85*8),"0"),".",TEXT((BITWISE_AND('IP Address (no mod)'!$D$21,Q$19)*64)+M$76*10+O85,"0")))</f>
        <v>10.0.56.166</v>
      </c>
      <c r="S85" s="100">
        <f t="shared" si="48"/>
        <v>0</v>
      </c>
      <c r="T85" s="106"/>
      <c r="U85" s="55"/>
      <c r="V85" s="330"/>
      <c r="W85" s="8" t="s">
        <v>263</v>
      </c>
      <c r="X85" s="8">
        <v>8</v>
      </c>
      <c r="Y85" s="8">
        <v>7</v>
      </c>
      <c r="Z85" s="2" t="s">
        <v>318</v>
      </c>
      <c r="AA85" s="5" t="str">
        <f>IF(Y85=99,"",CONCATENATE("10.0.",TEXT(((BITWISE_AND('IP Address (no mod)'!$D$20,Z$19)/4)+Y85*8),"0"),".",TEXT((BITWISE_AND('IP Address (no mod)'!$D$21,Z$19)*64)+V$76*10+X85,"0")))</f>
        <v>10.0.56.230</v>
      </c>
      <c r="AB85" s="100">
        <f t="shared" si="49"/>
        <v>0</v>
      </c>
      <c r="AC85" s="106"/>
      <c r="AD85" s="55"/>
      <c r="AE85" s="330"/>
      <c r="AF85" s="8" t="s">
        <v>263</v>
      </c>
      <c r="AG85" s="8">
        <v>8</v>
      </c>
      <c r="AH85" s="8">
        <v>7</v>
      </c>
      <c r="AI85" s="2" t="s">
        <v>318</v>
      </c>
      <c r="AJ85" s="4" t="str">
        <f>IF(AH85=99,"",CONCATENATE("10.0.",TEXT(((BITWISE_AND('IP Address (no mod)'!$D$20,AI$19)/4)+AH85*8),"0"),".",TEXT((BITWISE_AND('IP Address (no mod)'!$D$21,AI$19)*64)+AE$76*10+AG85,"0")))</f>
        <v>10.0.61.166</v>
      </c>
      <c r="AK85" s="100">
        <f t="shared" si="50"/>
        <v>0</v>
      </c>
      <c r="AL85" s="66"/>
      <c r="AM85" s="1"/>
      <c r="AN85" s="1"/>
      <c r="AO85" s="1"/>
      <c r="AP85" s="1"/>
      <c r="AQ85" s="1"/>
      <c r="AR85" s="59"/>
      <c r="AS85" s="106"/>
      <c r="AT85" s="55"/>
      <c r="AU85" s="330"/>
      <c r="AV85" s="8" t="s">
        <v>263</v>
      </c>
      <c r="AW85" s="8">
        <v>8</v>
      </c>
      <c r="AX85" s="8">
        <v>7</v>
      </c>
      <c r="AY85" s="2" t="s">
        <v>318</v>
      </c>
      <c r="AZ85" s="5" t="str">
        <f>IF(AX85=99,"",CONCATENATE("10.0.",TEXT(((BITWISE_AND('IP Address (no mod)'!$D$20,AY$19)/4)+AX85*8),"0"),".",TEXT((BITWISE_AND('IP Address (no mod)'!$D$21,AY$19)*64)+AU$76*10+AW85,"0")))</f>
        <v>10.0.57.102</v>
      </c>
      <c r="BA85" s="100">
        <f t="shared" si="51"/>
        <v>0</v>
      </c>
      <c r="BB85" s="106"/>
      <c r="BC85" s="55"/>
      <c r="BD85" s="330"/>
      <c r="BE85" s="8" t="s">
        <v>263</v>
      </c>
      <c r="BF85" s="8">
        <v>8</v>
      </c>
      <c r="BG85" s="8">
        <v>7</v>
      </c>
      <c r="BH85" s="2" t="s">
        <v>318</v>
      </c>
      <c r="BI85" s="5" t="str">
        <f>IF(BG85=99,"",CONCATENATE("10.0.",TEXT(((BITWISE_AND('IP Address (no mod)'!$D$20,BH$19)/4)+BG85*8),"0"),".",TEXT((BITWISE_AND('IP Address (no mod)'!$D$21,BH$19)*64)+BD$76*10+BF85,"0")))</f>
        <v>10.0.57.166</v>
      </c>
      <c r="BJ85" s="100">
        <f t="shared" si="52"/>
        <v>0</v>
      </c>
      <c r="BK85" s="106"/>
      <c r="BL85" s="55"/>
      <c r="BM85" s="330"/>
      <c r="BN85" s="8" t="s">
        <v>263</v>
      </c>
      <c r="BO85" s="8">
        <v>8</v>
      </c>
      <c r="BP85" s="8">
        <v>7</v>
      </c>
      <c r="BQ85" s="2" t="s">
        <v>318</v>
      </c>
      <c r="BR85" s="5" t="str">
        <f>IF(BP85=99,"",CONCATENATE("10.0.",TEXT(((BITWISE_AND('IP Address (no mod)'!$D$20,BQ$19)/4)+BP85*8),"0"),".",TEXT((BITWISE_AND('IP Address (no mod)'!$D$21,BQ$19)*64)+BM$76*10+BO85,"0")))</f>
        <v>10.0.57.230</v>
      </c>
      <c r="BS85" s="100">
        <f t="shared" si="53"/>
        <v>0</v>
      </c>
      <c r="BT85" s="106"/>
      <c r="BU85" s="55"/>
      <c r="BV85" s="330"/>
      <c r="BW85" s="8" t="s">
        <v>263</v>
      </c>
      <c r="BX85" s="8">
        <v>8</v>
      </c>
      <c r="BY85" s="8">
        <v>7</v>
      </c>
      <c r="BZ85" s="2" t="s">
        <v>318</v>
      </c>
      <c r="CA85" s="5" t="str">
        <f>IF(BY85=99,"",CONCATENATE("10.0.",TEXT(((BITWISE_AND('IP Address (no mod)'!$D$20,BZ$19)/4)+BY85*8),"0"),".",TEXT((BITWISE_AND('IP Address (no mod)'!$D$21,BZ$19)*64)+BV$76*10+BX85,"0")))</f>
        <v>10.0.58.38</v>
      </c>
      <c r="CB85" s="100">
        <f t="shared" si="54"/>
        <v>0</v>
      </c>
      <c r="CC85" s="106"/>
      <c r="CD85" s="55"/>
      <c r="CE85" s="330"/>
      <c r="CF85" s="8" t="s">
        <v>263</v>
      </c>
      <c r="CG85" s="8">
        <v>8</v>
      </c>
      <c r="CH85" s="8">
        <v>7</v>
      </c>
      <c r="CI85" s="2" t="s">
        <v>318</v>
      </c>
      <c r="CJ85" s="5" t="str">
        <f>IF(CH85=99,"",CONCATENATE("10.0.",TEXT(((BITWISE_AND('IP Address (no mod)'!$D$20,CI$19)/4)+CH85*8),"0"),".",TEXT((BITWISE_AND('IP Address (no mod)'!$D$21,CI$19)*64)+CE$76*10+CG85,"0")))</f>
        <v>10.0.58.102</v>
      </c>
      <c r="CK85" s="100">
        <f t="shared" si="55"/>
        <v>0</v>
      </c>
      <c r="CL85" s="106"/>
      <c r="CM85" s="55"/>
      <c r="CN85" s="330"/>
      <c r="CO85" s="8" t="s">
        <v>263</v>
      </c>
      <c r="CP85" s="8">
        <v>8</v>
      </c>
      <c r="CQ85" s="8">
        <v>7</v>
      </c>
      <c r="CR85" s="2" t="s">
        <v>318</v>
      </c>
      <c r="CS85" s="5" t="str">
        <f>IF(CQ85=99,"",CONCATENATE("10.0.",TEXT(((BITWISE_AND('IP Address (no mod)'!$D$20,CR$19)/4)+CQ85*8),"0"),".",TEXT((BITWISE_AND('IP Address (no mod)'!$D$21,CR$19)*64)+CN$76*10+CP85,"0")))</f>
        <v>10.0.58.166</v>
      </c>
      <c r="CT85" s="100">
        <f t="shared" si="56"/>
        <v>0</v>
      </c>
      <c r="CU85" s="106"/>
      <c r="CV85" s="55"/>
      <c r="CW85" s="330"/>
      <c r="CX85" s="8" t="s">
        <v>263</v>
      </c>
      <c r="CY85" s="8">
        <v>8</v>
      </c>
      <c r="CZ85" s="8">
        <v>7</v>
      </c>
      <c r="DA85" s="2" t="s">
        <v>318</v>
      </c>
      <c r="DB85" s="5" t="str">
        <f>IF(CZ85=99,"",CONCATENATE("10.0.",TEXT(((BITWISE_AND('IP Address (no mod)'!$D$20,DA$19)/4)+CZ85*8),"0"),".",TEXT((BITWISE_AND('IP Address (no mod)'!$D$21,DA$19)*64)+CW$76*10+CY85,"0")))</f>
        <v>10.0.58.230</v>
      </c>
      <c r="DC85" s="100">
        <f t="shared" si="57"/>
        <v>0</v>
      </c>
      <c r="DD85" s="106"/>
      <c r="DE85" s="55"/>
      <c r="DF85" s="330"/>
      <c r="DG85" s="8" t="s">
        <v>263</v>
      </c>
      <c r="DH85" s="8">
        <v>8</v>
      </c>
      <c r="DI85" s="8">
        <v>7</v>
      </c>
      <c r="DJ85" s="2" t="s">
        <v>318</v>
      </c>
      <c r="DK85" s="5" t="str">
        <f>IF(DI85=99,"",CONCATENATE("10.0.",TEXT(((BITWISE_AND('IP Address (no mod)'!$D$20,DJ$19)/4)+DI85*8),"0"),".",TEXT((BITWISE_AND('IP Address (no mod)'!$D$21,DJ$19)*64)+DF$76*10+DH85,"0")))</f>
        <v>10.0.59.38</v>
      </c>
      <c r="DL85" s="100">
        <f t="shared" si="58"/>
        <v>0</v>
      </c>
      <c r="DM85" s="106"/>
      <c r="DN85" s="55"/>
      <c r="DO85" s="330"/>
      <c r="DP85" s="8" t="s">
        <v>263</v>
      </c>
      <c r="DQ85" s="8">
        <v>8</v>
      </c>
      <c r="DR85" s="8">
        <v>7</v>
      </c>
      <c r="DS85" s="2" t="s">
        <v>318</v>
      </c>
      <c r="DT85" s="5" t="str">
        <f>IF(DR85=99,"",CONCATENATE("10.0.",TEXT(((BITWISE_AND('IP Address (no mod)'!$D$20,DS$19)/4)+DR85*8),"0"),".",TEXT((BITWISE_AND('IP Address (no mod)'!$D$21,DS$19)*64)+DO$76*10+DQ85,"0")))</f>
        <v>10.0.59.102</v>
      </c>
      <c r="DU85" s="100">
        <f t="shared" si="59"/>
        <v>0</v>
      </c>
      <c r="DV85" s="98"/>
      <c r="DW85" s="55"/>
      <c r="DX85" s="330"/>
      <c r="DY85" s="8" t="s">
        <v>263</v>
      </c>
      <c r="DZ85" s="8">
        <v>8</v>
      </c>
      <c r="EA85" s="8">
        <v>7</v>
      </c>
      <c r="EB85" s="2" t="s">
        <v>318</v>
      </c>
      <c r="EC85" s="5" t="str">
        <f>IF(EA85=99,"",CONCATENATE("10.0.",TEXT(((BITWISE_AND('IP Address (no mod)'!$D$20,EB$19)/4)+EA85*8),"0"),".",TEXT((BITWISE_AND('IP Address (no mod)'!$D$21,EB$19)*64)+DX$76*10+DZ85,"0")))</f>
        <v>10.0.59.166</v>
      </c>
      <c r="ED85" s="100">
        <f t="shared" si="60"/>
        <v>0</v>
      </c>
      <c r="EE85" s="106"/>
      <c r="EF85" s="55"/>
      <c r="EG85" s="330"/>
      <c r="EH85" s="63" t="s">
        <v>325</v>
      </c>
      <c r="EI85" s="63">
        <v>8</v>
      </c>
      <c r="EJ85" s="63">
        <v>4</v>
      </c>
      <c r="EK85" s="64"/>
      <c r="EL85" s="4" t="str">
        <f>IF(EJ85=99,"",CONCATENATE("10.0.",TEXT(((BITWISE_AND('IP Address (no mod)'!$D$20,EK$19)/4)+EJ85*8),"0"),".",TEXT((BITWISE_AND('IP Address (no mod)'!$D$21,EK$19)*64)+EG$76*10+EI85,"0")))</f>
        <v>10.0.35.230</v>
      </c>
      <c r="EM85" s="100">
        <f t="shared" si="61"/>
        <v>0</v>
      </c>
      <c r="EN85" s="107"/>
    </row>
    <row r="86" spans="1:144" ht="15.75" thickBot="1">
      <c r="A86" s="322"/>
      <c r="B86" s="102"/>
      <c r="C86" s="55"/>
      <c r="D86" s="330"/>
      <c r="E86" s="63" t="s">
        <v>326</v>
      </c>
      <c r="F86" s="63">
        <v>9</v>
      </c>
      <c r="G86" s="63">
        <v>99</v>
      </c>
      <c r="H86" s="64"/>
      <c r="I86" s="4" t="str">
        <f>IF(G86=99,"",CONCATENATE("10.0.",TEXT(((BITWISE_AND('IP Address (no mod)'!$D$20,H$19)/4)+G86*8),"0"),".",TEXT((BITWISE_AND('IP Address (no mod)'!$D$21,H$19)*64)+D$76*10+F86,"0")))</f>
        <v/>
      </c>
      <c r="J86" s="100">
        <f t="shared" si="47"/>
        <v>0</v>
      </c>
      <c r="K86" s="106"/>
      <c r="L86" s="55"/>
      <c r="M86" s="331"/>
      <c r="N86" s="9" t="s">
        <v>266</v>
      </c>
      <c r="O86" s="9">
        <v>9</v>
      </c>
      <c r="P86" s="9">
        <v>99</v>
      </c>
      <c r="Q86" s="68"/>
      <c r="R86" s="7" t="str">
        <f>IF(P86=99,"",CONCATENATE("10.0.",TEXT(((BITWISE_AND('IP Address (no mod)'!$D$20,Q$19)/4)+P86*8),"0"),".",TEXT((BITWISE_AND('IP Address (no mod)'!$D$21,Q$19)*64)+M$76*10+O86,"0")))</f>
        <v/>
      </c>
      <c r="S86" s="100">
        <f t="shared" si="48"/>
        <v>0</v>
      </c>
      <c r="T86" s="106"/>
      <c r="U86" s="55"/>
      <c r="V86" s="331"/>
      <c r="W86" s="9" t="s">
        <v>266</v>
      </c>
      <c r="X86" s="9">
        <v>9</v>
      </c>
      <c r="Y86" s="9">
        <v>99</v>
      </c>
      <c r="Z86" s="50"/>
      <c r="AA86" s="7" t="str">
        <f>IF(Y86=99,"",CONCATENATE("10.0.",TEXT(((BITWISE_AND('IP Address (no mod)'!$D$20,Z$19)/4)+Y86*8),"0"),".",TEXT((BITWISE_AND('IP Address (no mod)'!$D$21,Z$19)*64)+V$76*10+X86,"0")))</f>
        <v/>
      </c>
      <c r="AB86" s="100">
        <f t="shared" si="49"/>
        <v>0</v>
      </c>
      <c r="AC86" s="106"/>
      <c r="AD86" s="69"/>
      <c r="AE86" s="331"/>
      <c r="AF86" s="9" t="s">
        <v>266</v>
      </c>
      <c r="AG86" s="9">
        <v>9</v>
      </c>
      <c r="AH86" s="9">
        <v>6</v>
      </c>
      <c r="AI86" s="2" t="s">
        <v>61</v>
      </c>
      <c r="AJ86" s="4" t="str">
        <f>IF(AH86=99,"",CONCATENATE("10.0.",TEXT(((BITWISE_AND('IP Address (no mod)'!$D$20,AI$19)/4)+AH86*8),"0"),".",TEXT((BITWISE_AND('IP Address (no mod)'!$D$21,AI$19)*64)+AE$76*10+AG86,"0")))</f>
        <v>10.0.53.167</v>
      </c>
      <c r="AK86" s="100">
        <f t="shared" si="50"/>
        <v>0</v>
      </c>
      <c r="AL86" s="66"/>
      <c r="AM86" s="1"/>
      <c r="AN86" s="1"/>
      <c r="AO86" s="1"/>
      <c r="AP86" s="1"/>
      <c r="AQ86" s="1"/>
      <c r="AR86" s="71"/>
      <c r="AS86" s="106"/>
      <c r="AT86" s="55"/>
      <c r="AU86" s="331"/>
      <c r="AV86" s="9" t="s">
        <v>266</v>
      </c>
      <c r="AW86" s="9">
        <v>9</v>
      </c>
      <c r="AX86" s="9">
        <v>99</v>
      </c>
      <c r="AY86" s="50"/>
      <c r="AZ86" s="7" t="str">
        <f>IF(AX86=99,"",CONCATENATE("10.0.",TEXT(((BITWISE_AND('IP Address (no mod)'!$D$20,AY$19)/4)+AX86*8),"0"),".",TEXT((BITWISE_AND('IP Address (no mod)'!$D$21,AY$19)*64)+AU$76*10+AW86,"0")))</f>
        <v/>
      </c>
      <c r="BA86" s="100">
        <f t="shared" si="51"/>
        <v>0</v>
      </c>
      <c r="BB86" s="106"/>
      <c r="BC86" s="55"/>
      <c r="BD86" s="331"/>
      <c r="BE86" s="9" t="s">
        <v>266</v>
      </c>
      <c r="BF86" s="9">
        <v>9</v>
      </c>
      <c r="BG86" s="9">
        <v>99</v>
      </c>
      <c r="BH86" s="68"/>
      <c r="BI86" s="7" t="str">
        <f>IF(BG86=99,"",CONCATENATE("10.0.",TEXT(((BITWISE_AND('IP Address (no mod)'!$D$20,BH$19)/4)+BG86*8),"0"),".",TEXT((BITWISE_AND('IP Address (no mod)'!$D$21,BH$19)*64)+BD$76*10+BF86,"0")))</f>
        <v/>
      </c>
      <c r="BJ86" s="100">
        <f t="shared" si="52"/>
        <v>0</v>
      </c>
      <c r="BK86" s="106"/>
      <c r="BL86" s="55"/>
      <c r="BM86" s="331"/>
      <c r="BN86" s="9" t="s">
        <v>266</v>
      </c>
      <c r="BO86" s="9">
        <v>9</v>
      </c>
      <c r="BP86" s="9">
        <v>99</v>
      </c>
      <c r="BQ86" s="50"/>
      <c r="BR86" s="7" t="str">
        <f>IF(BP86=99,"",CONCATENATE("10.0.",TEXT(((BITWISE_AND('IP Address (no mod)'!$D$20,BQ$19)/4)+BP86*8),"0"),".",TEXT((BITWISE_AND('IP Address (no mod)'!$D$21,BQ$19)*64)+BM$76*10+BO86,"0")))</f>
        <v/>
      </c>
      <c r="BS86" s="100">
        <f t="shared" si="53"/>
        <v>0</v>
      </c>
      <c r="BT86" s="106"/>
      <c r="BU86" s="55"/>
      <c r="BV86" s="331"/>
      <c r="BW86" s="9" t="s">
        <v>266</v>
      </c>
      <c r="BX86" s="9">
        <v>9</v>
      </c>
      <c r="BY86" s="9">
        <v>99</v>
      </c>
      <c r="BZ86" s="68"/>
      <c r="CA86" s="7" t="str">
        <f>IF(BY86=99,"",CONCATENATE("10.0.",TEXT(((BITWISE_AND('IP Address (no mod)'!$D$20,BZ$19)/4)+BY86*8),"0"),".",TEXT((BITWISE_AND('IP Address (no mod)'!$D$21,BZ$19)*64)+BV$76*10+BX86,"0")))</f>
        <v/>
      </c>
      <c r="CB86" s="100">
        <f t="shared" si="54"/>
        <v>0</v>
      </c>
      <c r="CC86" s="106"/>
      <c r="CD86" s="55"/>
      <c r="CE86" s="331"/>
      <c r="CF86" s="9" t="s">
        <v>266</v>
      </c>
      <c r="CG86" s="9">
        <v>9</v>
      </c>
      <c r="CH86" s="9">
        <v>99</v>
      </c>
      <c r="CI86" s="50"/>
      <c r="CJ86" s="7" t="str">
        <f>IF(CH86=99,"",CONCATENATE("10.0.",TEXT(((BITWISE_AND('IP Address (no mod)'!$D$20,CI$19)/4)+CH86*8),"0"),".",TEXT((BITWISE_AND('IP Address (no mod)'!$D$21,CI$19)*64)+CE$76*10+CG86,"0")))</f>
        <v/>
      </c>
      <c r="CK86" s="100">
        <f t="shared" si="55"/>
        <v>0</v>
      </c>
      <c r="CL86" s="106"/>
      <c r="CM86" s="55"/>
      <c r="CN86" s="331"/>
      <c r="CO86" s="9" t="s">
        <v>266</v>
      </c>
      <c r="CP86" s="9">
        <v>9</v>
      </c>
      <c r="CQ86" s="9">
        <v>99</v>
      </c>
      <c r="CR86" s="68"/>
      <c r="CS86" s="7" t="str">
        <f>IF(CQ86=99,"",CONCATENATE("10.0.",TEXT(((BITWISE_AND('IP Address (no mod)'!$D$20,CR$19)/4)+CQ86*8),"0"),".",TEXT((BITWISE_AND('IP Address (no mod)'!$D$21,CR$19)*64)+CN$76*10+CP86,"0")))</f>
        <v/>
      </c>
      <c r="CT86" s="100">
        <f t="shared" si="56"/>
        <v>0</v>
      </c>
      <c r="CU86" s="106"/>
      <c r="CV86" s="55"/>
      <c r="CW86" s="331"/>
      <c r="CX86" s="9" t="s">
        <v>266</v>
      </c>
      <c r="CY86" s="9">
        <v>9</v>
      </c>
      <c r="CZ86" s="9">
        <v>99</v>
      </c>
      <c r="DA86" s="50"/>
      <c r="DB86" s="7" t="str">
        <f>IF(CZ86=99,"",CONCATENATE("10.0.",TEXT(((BITWISE_AND('IP Address (no mod)'!$D$20,DA$19)/4)+CZ86*8),"0"),".",TEXT((BITWISE_AND('IP Address (no mod)'!$D$21,DA$19)*64)+CW$76*10+CY86,"0")))</f>
        <v/>
      </c>
      <c r="DC86" s="100">
        <f t="shared" si="57"/>
        <v>0</v>
      </c>
      <c r="DD86" s="106"/>
      <c r="DE86" s="55"/>
      <c r="DF86" s="331"/>
      <c r="DG86" s="9" t="s">
        <v>266</v>
      </c>
      <c r="DH86" s="9">
        <v>9</v>
      </c>
      <c r="DI86" s="9">
        <v>99</v>
      </c>
      <c r="DJ86" s="68"/>
      <c r="DK86" s="7" t="str">
        <f>IF(DI86=99,"",CONCATENATE("10.0.",TEXT(((BITWISE_AND('IP Address (no mod)'!$D$20,DJ$19)/4)+DI86*8),"0"),".",TEXT((BITWISE_AND('IP Address (no mod)'!$D$21,DJ$19)*64)+DF$76*10+DH86,"0")))</f>
        <v/>
      </c>
      <c r="DL86" s="100">
        <f t="shared" si="58"/>
        <v>0</v>
      </c>
      <c r="DM86" s="106"/>
      <c r="DN86" s="55"/>
      <c r="DO86" s="331"/>
      <c r="DP86" s="9" t="s">
        <v>266</v>
      </c>
      <c r="DQ86" s="9">
        <v>9</v>
      </c>
      <c r="DR86" s="9">
        <v>99</v>
      </c>
      <c r="DS86" s="50"/>
      <c r="DT86" s="7" t="str">
        <f>IF(DR86=99,"",CONCATENATE("10.0.",TEXT(((BITWISE_AND('IP Address (no mod)'!$D$20,DS$19)/4)+DR86*8),"0"),".",TEXT((BITWISE_AND('IP Address (no mod)'!$D$21,DS$19)*64)+DO$76*10+DQ86,"0")))</f>
        <v/>
      </c>
      <c r="DU86" s="100">
        <f t="shared" si="59"/>
        <v>0</v>
      </c>
      <c r="DV86" s="98"/>
      <c r="DW86" s="55"/>
      <c r="DX86" s="331"/>
      <c r="DY86" s="9" t="s">
        <v>266</v>
      </c>
      <c r="DZ86" s="9">
        <v>9</v>
      </c>
      <c r="EA86" s="9">
        <v>99</v>
      </c>
      <c r="EB86" s="68"/>
      <c r="EC86" s="7" t="str">
        <f>IF(EA86=99,"",CONCATENATE("10.0.",TEXT(((BITWISE_AND('IP Address (no mod)'!$D$20,EB$19)/4)+EA86*8),"0"),".",TEXT((BITWISE_AND('IP Address (no mod)'!$D$21,EB$19)*64)+DX$76*10+DZ86,"0")))</f>
        <v/>
      </c>
      <c r="ED86" s="100">
        <f t="shared" si="60"/>
        <v>0</v>
      </c>
      <c r="EE86" s="106"/>
      <c r="EF86" s="55"/>
      <c r="EG86" s="330"/>
      <c r="EH86" s="63" t="s">
        <v>326</v>
      </c>
      <c r="EI86" s="63">
        <v>9</v>
      </c>
      <c r="EJ86" s="63">
        <v>99</v>
      </c>
      <c r="EK86" s="64"/>
      <c r="EL86" s="4" t="str">
        <f>IF(EJ86=99,"",CONCATENATE("10.0.",TEXT(((BITWISE_AND('IP Address (no mod)'!$D$20,EK$19)/4)+EJ86*8),"0"),".",TEXT((BITWISE_AND('IP Address (no mod)'!$D$21,EK$19)*64)+EG$76*10+EI86,"0")))</f>
        <v/>
      </c>
      <c r="EM86" s="100">
        <f t="shared" si="61"/>
        <v>0</v>
      </c>
      <c r="EN86" s="107"/>
    </row>
    <row r="87" spans="1:144" ht="15.75" thickBot="1">
      <c r="A87" s="322"/>
      <c r="B87" s="102"/>
      <c r="C87" s="55"/>
      <c r="D87" s="330"/>
      <c r="E87" s="63" t="s">
        <v>327</v>
      </c>
      <c r="F87" s="63">
        <v>10</v>
      </c>
      <c r="G87" s="63">
        <v>7</v>
      </c>
      <c r="H87" s="64" t="s">
        <v>315</v>
      </c>
      <c r="I87" s="4" t="str">
        <f>IF(G87=99,"",CONCATENATE("10.0.",TEXT(((BITWISE_AND('IP Address (no mod)'!$D$20,H$19)/4)+G87*8),"0"),".",TEXT((BITWISE_AND('IP Address (no mod)'!$D$21,H$19)*64)+D$76*10+F87,"0")))</f>
        <v>10.0.56.104</v>
      </c>
      <c r="J87" s="100">
        <f t="shared" si="47"/>
        <v>0</v>
      </c>
      <c r="K87" s="106"/>
      <c r="L87" s="16"/>
      <c r="M87" s="67"/>
      <c r="N87" s="67"/>
      <c r="O87" s="67"/>
      <c r="P87" s="67"/>
      <c r="Q87" s="67"/>
      <c r="R87" s="67"/>
      <c r="S87" s="18"/>
      <c r="T87" s="106"/>
      <c r="U87" s="16"/>
      <c r="V87" s="67"/>
      <c r="W87" s="67"/>
      <c r="X87" s="67"/>
      <c r="Y87" s="67"/>
      <c r="Z87" s="67"/>
      <c r="AA87" s="67"/>
      <c r="AB87" s="18"/>
      <c r="AC87" s="107"/>
      <c r="AD87" s="16"/>
      <c r="AE87" s="67"/>
      <c r="AF87" s="67"/>
      <c r="AG87" s="67"/>
      <c r="AH87" s="67"/>
      <c r="AI87" s="67"/>
      <c r="AJ87" s="67"/>
      <c r="AK87" s="17"/>
      <c r="AL87" s="17"/>
      <c r="AM87" s="17"/>
      <c r="AN87" s="17"/>
      <c r="AO87" s="17"/>
      <c r="AP87" s="17"/>
      <c r="AQ87" s="17"/>
      <c r="AR87" s="18"/>
      <c r="AS87" s="106"/>
      <c r="AT87" s="16"/>
      <c r="AU87" s="67"/>
      <c r="AV87" s="67"/>
      <c r="AW87" s="67"/>
      <c r="AX87" s="67"/>
      <c r="AY87" s="67"/>
      <c r="AZ87" s="67"/>
      <c r="BA87" s="18"/>
      <c r="BB87" s="106"/>
      <c r="BC87" s="16"/>
      <c r="BD87" s="67"/>
      <c r="BE87" s="67"/>
      <c r="BF87" s="67"/>
      <c r="BG87" s="67"/>
      <c r="BH87" s="67"/>
      <c r="BI87" s="67"/>
      <c r="BJ87" s="18"/>
      <c r="BK87" s="106"/>
      <c r="BL87" s="16"/>
      <c r="BM87" s="67"/>
      <c r="BN87" s="67"/>
      <c r="BO87" s="67"/>
      <c r="BP87" s="67"/>
      <c r="BQ87" s="67"/>
      <c r="BR87" s="67"/>
      <c r="BS87" s="18"/>
      <c r="BT87" s="106"/>
      <c r="BU87" s="16"/>
      <c r="BV87" s="67"/>
      <c r="BW87" s="67"/>
      <c r="BX87" s="67"/>
      <c r="BY87" s="67"/>
      <c r="BZ87" s="67"/>
      <c r="CA87" s="67"/>
      <c r="CB87" s="18"/>
      <c r="CC87" s="106"/>
      <c r="CD87" s="16"/>
      <c r="CE87" s="67"/>
      <c r="CF87" s="67"/>
      <c r="CG87" s="67"/>
      <c r="CH87" s="67"/>
      <c r="CI87" s="67"/>
      <c r="CJ87" s="67"/>
      <c r="CK87" s="18"/>
      <c r="CL87" s="106"/>
      <c r="CM87" s="16"/>
      <c r="CN87" s="67"/>
      <c r="CO87" s="67"/>
      <c r="CP87" s="67"/>
      <c r="CQ87" s="67"/>
      <c r="CR87" s="67"/>
      <c r="CS87" s="67"/>
      <c r="CT87" s="18"/>
      <c r="CU87" s="106"/>
      <c r="CV87" s="16"/>
      <c r="CW87" s="67"/>
      <c r="CX87" s="67"/>
      <c r="CY87" s="67"/>
      <c r="CZ87" s="67"/>
      <c r="DA87" s="67"/>
      <c r="DB87" s="67"/>
      <c r="DC87" s="18"/>
      <c r="DD87" s="106"/>
      <c r="DE87" s="16"/>
      <c r="DF87" s="67"/>
      <c r="DG87" s="67"/>
      <c r="DH87" s="67"/>
      <c r="DI87" s="67"/>
      <c r="DJ87" s="67"/>
      <c r="DK87" s="67"/>
      <c r="DL87" s="18"/>
      <c r="DM87" s="106"/>
      <c r="DN87" s="16"/>
      <c r="DO87" s="67"/>
      <c r="DP87" s="67"/>
      <c r="DQ87" s="67"/>
      <c r="DR87" s="67"/>
      <c r="DS87" s="67"/>
      <c r="DT87" s="67"/>
      <c r="DU87" s="18"/>
      <c r="DV87" s="98"/>
      <c r="DW87" s="16"/>
      <c r="DX87" s="67"/>
      <c r="DY87" s="67"/>
      <c r="DZ87" s="67"/>
      <c r="EA87" s="67"/>
      <c r="EB87" s="67"/>
      <c r="EC87" s="67"/>
      <c r="ED87" s="18"/>
      <c r="EE87" s="106"/>
      <c r="EF87" s="55"/>
      <c r="EG87" s="330"/>
      <c r="EH87" s="63" t="s">
        <v>327</v>
      </c>
      <c r="EI87" s="63">
        <v>10</v>
      </c>
      <c r="EJ87" s="63">
        <v>7</v>
      </c>
      <c r="EK87" s="64" t="s">
        <v>315</v>
      </c>
      <c r="EL87" s="4" t="str">
        <f>IF(EJ87=99,"",CONCATENATE("10.0.",TEXT(((BITWISE_AND('IP Address (no mod)'!$D$20,EK$19)/4)+EJ87*8),"0"),".",TEXT((BITWISE_AND('IP Address (no mod)'!$D$21,EK$19)*64)+EG$76*10+EI87,"0")))</f>
        <v>10.0.59.232</v>
      </c>
      <c r="EM87" s="100">
        <f t="shared" si="61"/>
        <v>0</v>
      </c>
      <c r="EN87" s="107"/>
    </row>
    <row r="88" spans="1:144" ht="15.75" thickBot="1">
      <c r="A88" s="323"/>
      <c r="B88" s="102"/>
      <c r="C88" s="55"/>
      <c r="D88" s="330"/>
      <c r="E88" s="63" t="s">
        <v>328</v>
      </c>
      <c r="F88" s="63">
        <v>11</v>
      </c>
      <c r="G88" s="63">
        <v>7</v>
      </c>
      <c r="H88" s="64" t="s">
        <v>494</v>
      </c>
      <c r="I88" s="4" t="str">
        <f>IF(G88=99,"",CONCATENATE("10.0.",TEXT(((BITWISE_AND('IP Address (no mod)'!$D$20,H$19)/4)+G88*8),"0"),".",TEXT((BITWISE_AND('IP Address (no mod)'!$D$21,H$19)*64)+D$76*10+F88,"0")))</f>
        <v>10.0.56.105</v>
      </c>
      <c r="J88" s="100">
        <f t="shared" si="47"/>
        <v>0</v>
      </c>
      <c r="K88" s="106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  <c r="DL88" s="108"/>
      <c r="DM88" s="108"/>
      <c r="DN88" s="108"/>
      <c r="DO88" s="108"/>
      <c r="DP88" s="108"/>
      <c r="DQ88" s="108"/>
      <c r="DR88" s="108"/>
      <c r="DS88" s="108"/>
      <c r="DT88" s="108"/>
      <c r="DU88" s="108"/>
      <c r="DV88" s="108"/>
      <c r="DW88" s="108"/>
      <c r="DX88" s="108"/>
      <c r="DY88" s="108"/>
      <c r="DZ88" s="108"/>
      <c r="EA88" s="108"/>
      <c r="EB88" s="108"/>
      <c r="EC88" s="108"/>
      <c r="ED88" s="108"/>
      <c r="EE88" s="106"/>
      <c r="EF88" s="55"/>
      <c r="EG88" s="330"/>
      <c r="EH88" s="63" t="s">
        <v>328</v>
      </c>
      <c r="EI88" s="63">
        <v>11</v>
      </c>
      <c r="EJ88" s="63">
        <v>7</v>
      </c>
      <c r="EK88" s="64" t="s">
        <v>494</v>
      </c>
      <c r="EL88" s="4" t="str">
        <f>IF(EJ88=99,"",CONCATENATE("10.0.",TEXT(((BITWISE_AND('IP Address (no mod)'!$D$20,EK$19)/4)+EJ88*8),"0"),".",TEXT((BITWISE_AND('IP Address (no mod)'!$D$21,EK$19)*64)+EG$76*10+EI88,"0")))</f>
        <v>10.0.59.233</v>
      </c>
      <c r="EM88" s="100">
        <f t="shared" si="61"/>
        <v>0</v>
      </c>
      <c r="EN88" s="107"/>
    </row>
    <row r="89" spans="1:144">
      <c r="B89" s="115"/>
      <c r="C89" s="55"/>
      <c r="D89" s="330"/>
      <c r="E89" s="63" t="s">
        <v>329</v>
      </c>
      <c r="F89" s="63">
        <v>12</v>
      </c>
      <c r="G89" s="63">
        <v>7</v>
      </c>
      <c r="H89" s="64" t="s">
        <v>495</v>
      </c>
      <c r="I89" s="4" t="str">
        <f>IF(G89=99,"",CONCATENATE("10.0.",TEXT(((BITWISE_AND('IP Address (no mod)'!$D$20,H$19)/4)+G89*8),"0"),".",TEXT((BITWISE_AND('IP Address (no mod)'!$D$21,H$19)*64)+D$76*10+F89,"0")))</f>
        <v>10.0.56.106</v>
      </c>
      <c r="J89" s="100">
        <f t="shared" si="47"/>
        <v>0</v>
      </c>
      <c r="K89" s="117"/>
      <c r="EE89" s="111"/>
      <c r="EF89" s="55"/>
      <c r="EG89" s="330"/>
      <c r="EH89" s="63" t="s">
        <v>329</v>
      </c>
      <c r="EI89" s="63">
        <v>12</v>
      </c>
      <c r="EJ89" s="63">
        <v>7</v>
      </c>
      <c r="EK89" s="64" t="s">
        <v>495</v>
      </c>
      <c r="EL89" s="4" t="str">
        <f>IF(EJ89=99,"",CONCATENATE("10.0.",TEXT(((BITWISE_AND('IP Address (no mod)'!$D$20,EK$19)/4)+EJ89*8),"0"),".",TEXT((BITWISE_AND('IP Address (no mod)'!$D$21,EK$19)*64)+EG$76*10+EI89,"0")))</f>
        <v>10.0.59.234</v>
      </c>
      <c r="EM89" s="100">
        <f t="shared" si="61"/>
        <v>0</v>
      </c>
      <c r="EN89" s="107"/>
    </row>
    <row r="90" spans="1:144">
      <c r="B90" s="115"/>
      <c r="C90" s="55"/>
      <c r="D90" s="330"/>
      <c r="E90" s="63" t="s">
        <v>330</v>
      </c>
      <c r="F90" s="63">
        <v>13</v>
      </c>
      <c r="G90" s="63">
        <v>7</v>
      </c>
      <c r="H90" s="64" t="s">
        <v>313</v>
      </c>
      <c r="I90" s="4" t="str">
        <f>IF(G90=99,"",CONCATENATE("10.0.",TEXT(((BITWISE_AND('IP Address (no mod)'!$D$20,H$19)/4)+G90*8),"0"),".",TEXT((BITWISE_AND('IP Address (no mod)'!$D$21,H$19)*64)+D$76*10+F90,"0")))</f>
        <v>10.0.56.107</v>
      </c>
      <c r="J90" s="100">
        <f t="shared" si="47"/>
        <v>0</v>
      </c>
      <c r="K90" s="117"/>
      <c r="O90" t="str">
        <f>TEXT((BITWISE_AND('IP Address (no mod)'!$D$21,H$59)*64),"0")</f>
        <v>64</v>
      </c>
      <c r="EE90" s="111"/>
      <c r="EF90" s="55"/>
      <c r="EG90" s="330"/>
      <c r="EH90" s="63" t="s">
        <v>330</v>
      </c>
      <c r="EI90" s="63">
        <v>13</v>
      </c>
      <c r="EJ90" s="63">
        <v>7</v>
      </c>
      <c r="EK90" s="64" t="s">
        <v>313</v>
      </c>
      <c r="EL90" s="4" t="str">
        <f>IF(EJ90=99,"",CONCATENATE("10.0.",TEXT(((BITWISE_AND('IP Address (no mod)'!$D$20,EK$19)/4)+EJ90*8),"0"),".",TEXT((BITWISE_AND('IP Address (no mod)'!$D$21,EK$19)*64)+EG$76*10+EI90,"0")))</f>
        <v>10.0.59.235</v>
      </c>
      <c r="EM90" s="100">
        <f t="shared" si="61"/>
        <v>0</v>
      </c>
      <c r="EN90" s="107"/>
    </row>
    <row r="91" spans="1:144">
      <c r="B91" s="115"/>
      <c r="C91" s="55"/>
      <c r="D91" s="330"/>
      <c r="E91" s="63" t="s">
        <v>331</v>
      </c>
      <c r="F91" s="63">
        <v>14</v>
      </c>
      <c r="G91" s="63">
        <v>7</v>
      </c>
      <c r="H91" s="64" t="s">
        <v>332</v>
      </c>
      <c r="I91" s="4" t="str">
        <f>IF(G91=99,"",CONCATENATE("10.0.",TEXT(((BITWISE_AND('IP Address (no mod)'!$D$20,H$19)/4)+G91*8),"0"),".",TEXT((BITWISE_AND('IP Address (no mod)'!$D$21,H$19)*64)+D$76*10+F91,"0")))</f>
        <v>10.0.56.108</v>
      </c>
      <c r="J91" s="100">
        <f t="shared" si="47"/>
        <v>0</v>
      </c>
      <c r="K91" s="117"/>
      <c r="EE91" s="111"/>
      <c r="EF91" s="55"/>
      <c r="EG91" s="330"/>
      <c r="EH91" s="63" t="s">
        <v>331</v>
      </c>
      <c r="EI91" s="63">
        <v>14</v>
      </c>
      <c r="EJ91" s="63">
        <v>7</v>
      </c>
      <c r="EK91" s="64" t="s">
        <v>332</v>
      </c>
      <c r="EL91" s="4" t="str">
        <f>IF(EJ91=99,"",CONCATENATE("10.0.",TEXT(((BITWISE_AND('IP Address (no mod)'!$D$20,EK$19)/4)+EJ91*8),"0"),".",TEXT((BITWISE_AND('IP Address (no mod)'!$D$21,EK$19)*64)+EG$76*10+EI91,"0")))</f>
        <v>10.0.59.236</v>
      </c>
      <c r="EM91" s="100">
        <f t="shared" si="61"/>
        <v>0</v>
      </c>
      <c r="EN91" s="117"/>
    </row>
    <row r="92" spans="1:144">
      <c r="B92" s="115"/>
      <c r="C92" s="55"/>
      <c r="D92" s="330"/>
      <c r="E92" s="63" t="s">
        <v>333</v>
      </c>
      <c r="F92" s="63">
        <v>15</v>
      </c>
      <c r="G92" s="63">
        <v>7</v>
      </c>
      <c r="H92" s="64" t="s">
        <v>64</v>
      </c>
      <c r="I92" s="4" t="str">
        <f>IF(G92=99,"",CONCATENATE("10.0.",TEXT(((BITWISE_AND('IP Address (no mod)'!$D$20,H$19)/4)+G92*8),"0"),".",TEXT((BITWISE_AND('IP Address (no mod)'!$D$21,H$19)*64)+D$76*10+F92,"0")))</f>
        <v>10.0.56.109</v>
      </c>
      <c r="J92" s="100">
        <f t="shared" si="47"/>
        <v>0</v>
      </c>
      <c r="K92" s="117"/>
      <c r="EE92" s="111"/>
      <c r="EF92" s="55"/>
      <c r="EG92" s="330"/>
      <c r="EH92" s="63" t="s">
        <v>333</v>
      </c>
      <c r="EI92" s="63">
        <v>15</v>
      </c>
      <c r="EJ92" s="63">
        <v>7</v>
      </c>
      <c r="EK92" s="64" t="s">
        <v>64</v>
      </c>
      <c r="EL92" s="4" t="str">
        <f>IF(EJ92=99,"",CONCATENATE("10.0.",TEXT(((BITWISE_AND('IP Address (no mod)'!$D$20,EK$19)/4)+EJ92*8),"0"),".",TEXT((BITWISE_AND('IP Address (no mod)'!$D$21,EK$19)*64)+EG$76*10+EI92,"0")))</f>
        <v>10.0.59.237</v>
      </c>
      <c r="EM92" s="100">
        <f t="shared" si="61"/>
        <v>0</v>
      </c>
      <c r="EN92" s="117"/>
    </row>
    <row r="93" spans="1:144">
      <c r="B93" s="115"/>
      <c r="C93" s="55"/>
      <c r="D93" s="330"/>
      <c r="E93" s="8" t="s">
        <v>263</v>
      </c>
      <c r="F93" s="8">
        <v>16</v>
      </c>
      <c r="G93" s="8">
        <v>99</v>
      </c>
      <c r="H93" s="86"/>
      <c r="I93" s="5" t="str">
        <f>IF(G93=99,"",CONCATENATE("10.0.",TEXT(((BITWISE_AND('IP Address (no mod)'!$D$20,H$19)/4)+G93*8),"0"),".",TEXT((BITWISE_AND('IP Address (no mod)'!$D$21,H$19)*64)+D$76*10+F93,"0")))</f>
        <v/>
      </c>
      <c r="J93" s="100">
        <f t="shared" si="47"/>
        <v>0</v>
      </c>
      <c r="K93" s="117"/>
      <c r="EE93" s="111"/>
      <c r="EF93" s="55"/>
      <c r="EG93" s="330"/>
      <c r="EH93" s="8" t="s">
        <v>263</v>
      </c>
      <c r="EI93" s="8">
        <v>16</v>
      </c>
      <c r="EJ93" s="8">
        <v>99</v>
      </c>
      <c r="EK93" s="86"/>
      <c r="EL93" s="5" t="str">
        <f>IF(EJ93=99,"",CONCATENATE("10.0.",TEXT(((BITWISE_AND('IP Address (no mod)'!$D$20,EK$19)/4)+EJ93*8),"0"),".",TEXT((BITWISE_AND('IP Address (no mod)'!$D$21,EK$19)*64)+EG$76*10+EI93,"0")))</f>
        <v/>
      </c>
      <c r="EM93" s="100">
        <f t="shared" si="61"/>
        <v>0</v>
      </c>
      <c r="EN93" s="117"/>
    </row>
    <row r="94" spans="1:144">
      <c r="B94" s="115"/>
      <c r="C94" s="55"/>
      <c r="D94" s="330"/>
      <c r="E94" s="8" t="s">
        <v>266</v>
      </c>
      <c r="F94" s="8">
        <v>17</v>
      </c>
      <c r="G94" s="8">
        <v>99</v>
      </c>
      <c r="H94" s="86"/>
      <c r="I94" s="5" t="str">
        <f>IF(G94=99,"",CONCATENATE("10.0.",TEXT(((BITWISE_AND('IP Address (no mod)'!$D$20,H$19)/4)+G94*8),"0"),".",TEXT((BITWISE_AND('IP Address (no mod)'!$D$21,H$19)*64)+D$76*10+F94,"0")))</f>
        <v/>
      </c>
      <c r="J94" s="100">
        <f t="shared" si="47"/>
        <v>0</v>
      </c>
      <c r="K94" s="117"/>
      <c r="EE94" s="111"/>
      <c r="EF94" s="55"/>
      <c r="EG94" s="330"/>
      <c r="EH94" s="8" t="s">
        <v>266</v>
      </c>
      <c r="EI94" s="8">
        <v>17</v>
      </c>
      <c r="EJ94" s="8">
        <v>99</v>
      </c>
      <c r="EK94" s="86"/>
      <c r="EL94" s="5" t="str">
        <f>IF(EJ94=99,"",CONCATENATE("10.0.",TEXT(((BITWISE_AND('IP Address (no mod)'!$D$20,EK$19)/4)+EJ94*8),"0"),".",TEXT((BITWISE_AND('IP Address (no mod)'!$D$21,EK$19)*64)+EG$76*10+EI94,"0")))</f>
        <v/>
      </c>
      <c r="EM94" s="100">
        <f t="shared" si="61"/>
        <v>0</v>
      </c>
      <c r="EN94" s="117"/>
    </row>
    <row r="95" spans="1:144">
      <c r="B95" s="115"/>
      <c r="C95" s="55"/>
      <c r="D95" s="330"/>
      <c r="E95" s="8" t="s">
        <v>334</v>
      </c>
      <c r="F95" s="8">
        <v>18</v>
      </c>
      <c r="G95" s="8">
        <v>99</v>
      </c>
      <c r="H95" s="86"/>
      <c r="I95" s="5" t="str">
        <f>IF(G95=99,"",CONCATENATE("10.0.",TEXT(((BITWISE_AND('IP Address (no mod)'!$D$20,H$19)/4)+G95*8),"0"),".",TEXT((BITWISE_AND('IP Address (no mod)'!$D$21,H$19)*64)+D$76*10+F95,"0")))</f>
        <v/>
      </c>
      <c r="J95" s="100">
        <f t="shared" si="47"/>
        <v>0</v>
      </c>
      <c r="K95" s="117"/>
      <c r="EE95" s="111"/>
      <c r="EF95" s="55"/>
      <c r="EG95" s="330"/>
      <c r="EH95" s="8" t="s">
        <v>334</v>
      </c>
      <c r="EI95" s="8">
        <v>18</v>
      </c>
      <c r="EJ95" s="8">
        <v>99</v>
      </c>
      <c r="EK95" s="86"/>
      <c r="EL95" s="5" t="str">
        <f>IF(EJ95=99,"",CONCATENATE("10.0.",TEXT(((BITWISE_AND('IP Address (no mod)'!$D$20,EK$19)/4)+EJ95*8),"0"),".",TEXT((BITWISE_AND('IP Address (no mod)'!$D$21,EK$19)*64)+EG$76*10+EI95,"0")))</f>
        <v/>
      </c>
      <c r="EM95" s="100">
        <f t="shared" si="61"/>
        <v>0</v>
      </c>
      <c r="EN95" s="117"/>
    </row>
    <row r="96" spans="1:144">
      <c r="B96" s="115"/>
      <c r="C96" s="55"/>
      <c r="D96" s="330"/>
      <c r="E96" s="8" t="s">
        <v>335</v>
      </c>
      <c r="F96" s="8">
        <v>19</v>
      </c>
      <c r="G96" s="8">
        <v>99</v>
      </c>
      <c r="H96" s="86"/>
      <c r="I96" s="5" t="str">
        <f>IF(G96=99,"",CONCATENATE("10.0.",TEXT(((BITWISE_AND('IP Address (no mod)'!$D$20,H$19)/4)+G96*8),"0"),".",TEXT((BITWISE_AND('IP Address (no mod)'!$D$21,H$19)*64)+D$76*10+F96,"0")))</f>
        <v/>
      </c>
      <c r="J96" s="100">
        <f t="shared" si="47"/>
        <v>0</v>
      </c>
      <c r="K96" s="117"/>
      <c r="EE96" s="111"/>
      <c r="EF96" s="55"/>
      <c r="EG96" s="330"/>
      <c r="EH96" s="8" t="s">
        <v>335</v>
      </c>
      <c r="EI96" s="8">
        <v>19</v>
      </c>
      <c r="EJ96" s="8">
        <v>99</v>
      </c>
      <c r="EK96" s="86"/>
      <c r="EL96" s="5" t="str">
        <f>IF(EJ96=99,"",CONCATENATE("10.0.",TEXT(((BITWISE_AND('IP Address (no mod)'!$D$20,EK$19)/4)+EJ96*8),"0"),".",TEXT((BITWISE_AND('IP Address (no mod)'!$D$21,EK$19)*64)+EG$76*10+EI96,"0")))</f>
        <v/>
      </c>
      <c r="EM96" s="100">
        <f t="shared" si="61"/>
        <v>0</v>
      </c>
      <c r="EN96" s="117"/>
    </row>
    <row r="97" spans="2:144">
      <c r="B97" s="115"/>
      <c r="C97" s="55"/>
      <c r="D97" s="330"/>
      <c r="E97" s="8" t="s">
        <v>336</v>
      </c>
      <c r="F97" s="8">
        <v>20</v>
      </c>
      <c r="G97" s="8">
        <v>99</v>
      </c>
      <c r="H97" s="86"/>
      <c r="I97" s="5" t="str">
        <f>IF(G97=99,"",CONCATENATE("10.0.",TEXT(((BITWISE_AND('IP Address (no mod)'!$D$20,H$19)/4)+G97*8),"0"),".",TEXT((BITWISE_AND('IP Address (no mod)'!$D$21,H$19)*64)+D$76*10+F97,"0")))</f>
        <v/>
      </c>
      <c r="J97" s="100">
        <f t="shared" si="47"/>
        <v>0</v>
      </c>
      <c r="K97" s="117"/>
      <c r="EE97" s="111"/>
      <c r="EF97" s="55"/>
      <c r="EG97" s="330"/>
      <c r="EH97" s="8" t="s">
        <v>336</v>
      </c>
      <c r="EI97" s="8">
        <v>20</v>
      </c>
      <c r="EJ97" s="8">
        <v>99</v>
      </c>
      <c r="EK97" s="86"/>
      <c r="EL97" s="5" t="str">
        <f>IF(EJ97=99,"",CONCATENATE("10.0.",TEXT(((BITWISE_AND('IP Address (no mod)'!$D$20,EK$19)/4)+EJ97*8),"0"),".",TEXT((BITWISE_AND('IP Address (no mod)'!$D$21,EK$19)*64)+EG$76*10+EI97,"0")))</f>
        <v/>
      </c>
      <c r="EM97" s="100">
        <f t="shared" si="61"/>
        <v>0</v>
      </c>
      <c r="EN97" s="117"/>
    </row>
    <row r="98" spans="2:144">
      <c r="B98" s="115"/>
      <c r="C98" s="55"/>
      <c r="D98" s="330"/>
      <c r="E98" s="8" t="s">
        <v>337</v>
      </c>
      <c r="F98" s="8">
        <v>21</v>
      </c>
      <c r="G98" s="8">
        <v>99</v>
      </c>
      <c r="H98" s="86"/>
      <c r="I98" s="5" t="str">
        <f>IF(G98=99,"",CONCATENATE("10.0.",TEXT(((BITWISE_AND('IP Address (no mod)'!$D$20,H$19)/4)+G98*8),"0"),".",TEXT((BITWISE_AND('IP Address (no mod)'!$D$21,H$19)*64)+D$76*10+F98,"0")))</f>
        <v/>
      </c>
      <c r="J98" s="100">
        <f t="shared" si="47"/>
        <v>0</v>
      </c>
      <c r="K98" s="117"/>
      <c r="EE98" s="111"/>
      <c r="EF98" s="55"/>
      <c r="EG98" s="330"/>
      <c r="EH98" s="8" t="s">
        <v>337</v>
      </c>
      <c r="EI98" s="8">
        <v>21</v>
      </c>
      <c r="EJ98" s="8">
        <v>99</v>
      </c>
      <c r="EK98" s="86"/>
      <c r="EL98" s="5" t="str">
        <f>IF(EJ98=99,"",CONCATENATE("10.0.",TEXT(((BITWISE_AND('IP Address (no mod)'!$D$20,EK$19)/4)+EJ98*8),"0"),".",TEXT((BITWISE_AND('IP Address (no mod)'!$D$21,EK$19)*64)+EG$76*10+EI98,"0")))</f>
        <v/>
      </c>
      <c r="EM98" s="100">
        <f t="shared" si="61"/>
        <v>0</v>
      </c>
      <c r="EN98" s="117"/>
    </row>
    <row r="99" spans="2:144">
      <c r="B99" s="115"/>
      <c r="C99" s="55"/>
      <c r="D99" s="330"/>
      <c r="E99" s="63" t="s">
        <v>338</v>
      </c>
      <c r="F99" s="63">
        <v>22</v>
      </c>
      <c r="G99" s="63">
        <v>4</v>
      </c>
      <c r="H99" s="121" t="s">
        <v>339</v>
      </c>
      <c r="I99" s="4" t="str">
        <f>IF(G99=99,"",CONCATENATE("10.0.",TEXT(((BITWISE_AND('IP Address (no mod)'!$D$20,H$19)/4)+G99*8),"0"),".",TEXT((BITWISE_AND('IP Address (no mod)'!$D$21,H$19)*64)+D$76*10+F99,"0")))</f>
        <v>10.0.32.116</v>
      </c>
      <c r="J99" s="100">
        <f t="shared" si="47"/>
        <v>0</v>
      </c>
      <c r="K99" s="117"/>
      <c r="EE99" s="111"/>
      <c r="EF99" s="55"/>
      <c r="EG99" s="330"/>
      <c r="EH99" s="63" t="s">
        <v>338</v>
      </c>
      <c r="EI99" s="63">
        <v>22</v>
      </c>
      <c r="EJ99" s="63">
        <v>4</v>
      </c>
      <c r="EK99" s="121" t="s">
        <v>339</v>
      </c>
      <c r="EL99" s="4" t="str">
        <f>IF(EJ99=99,"",CONCATENATE("10.0.",TEXT(((BITWISE_AND('IP Address (no mod)'!$D$20,EK$19)/4)+EJ99*8),"0"),".",TEXT((BITWISE_AND('IP Address (no mod)'!$D$21,EK$19)*64)+EG$76*10+EI99,"0")))</f>
        <v>10.0.35.244</v>
      </c>
      <c r="EM99" s="100">
        <f t="shared" si="61"/>
        <v>0</v>
      </c>
      <c r="EN99" s="117"/>
    </row>
    <row r="100" spans="2:144">
      <c r="B100" s="115"/>
      <c r="C100" s="55"/>
      <c r="D100" s="330"/>
      <c r="E100" s="63" t="s">
        <v>270</v>
      </c>
      <c r="F100" s="63">
        <v>23</v>
      </c>
      <c r="G100" s="63">
        <v>4</v>
      </c>
      <c r="H100" s="121" t="s">
        <v>340</v>
      </c>
      <c r="I100" s="4" t="str">
        <f>IF(G100=99,"",CONCATENATE("10.0.",TEXT(((BITWISE_AND('IP Address (no mod)'!$D$20,H$19)/4)+G100*8),"0"),".",TEXT((BITWISE_AND('IP Address (no mod)'!$D$21,H$19)*64)+D$76*10+F100,"0")))</f>
        <v>10.0.32.117</v>
      </c>
      <c r="J100" s="100">
        <f t="shared" si="47"/>
        <v>0</v>
      </c>
      <c r="K100" s="117"/>
      <c r="EE100" s="111"/>
      <c r="EF100" s="55"/>
      <c r="EG100" s="330"/>
      <c r="EH100" s="63" t="s">
        <v>270</v>
      </c>
      <c r="EI100" s="63">
        <v>23</v>
      </c>
      <c r="EJ100" s="63">
        <v>4</v>
      </c>
      <c r="EK100" s="121" t="s">
        <v>340</v>
      </c>
      <c r="EL100" s="4" t="str">
        <f>IF(EJ100=99,"",CONCATENATE("10.0.",TEXT(((BITWISE_AND('IP Address (no mod)'!$D$20,EK$19)/4)+EJ100*8),"0"),".",TEXT((BITWISE_AND('IP Address (no mod)'!$D$21,EK$19)*64)+EG$76*10+EI100,"0")))</f>
        <v>10.0.35.245</v>
      </c>
      <c r="EM100" s="100">
        <f t="shared" si="61"/>
        <v>0</v>
      </c>
      <c r="EN100" s="117"/>
    </row>
    <row r="101" spans="2:144">
      <c r="B101" s="115"/>
      <c r="C101" s="55"/>
      <c r="D101" s="330"/>
      <c r="E101" s="63" t="s">
        <v>276</v>
      </c>
      <c r="F101" s="63">
        <v>24</v>
      </c>
      <c r="G101" s="63">
        <v>5</v>
      </c>
      <c r="H101" s="1" t="s">
        <v>57</v>
      </c>
      <c r="I101" s="4" t="str">
        <f>IF(G101=99,"",CONCATENATE("10.0.",TEXT(((BITWISE_AND('IP Address (no mod)'!$D$20,H$59)/4)+G101*8),"0"),".",TEXT((BITWISE_AND('IP Address (no mod)'!$D$21,H$59)*64)+D$76*10+F101,"0")))</f>
        <v>10.0.40.118</v>
      </c>
      <c r="J101" s="100">
        <f t="shared" si="47"/>
        <v>0</v>
      </c>
      <c r="K101" s="117"/>
      <c r="EE101" s="111"/>
      <c r="EF101" s="55"/>
      <c r="EG101" s="330"/>
      <c r="EH101" s="63" t="s">
        <v>276</v>
      </c>
      <c r="EI101" s="63">
        <v>24</v>
      </c>
      <c r="EJ101" s="63">
        <v>5</v>
      </c>
      <c r="EK101" t="s">
        <v>57</v>
      </c>
      <c r="EL101" s="4" t="str">
        <f>IF(EJ101=99,"",CONCATENATE("10.0.",TEXT(((BITWISE_AND('IP Address (no mod)'!$D$20,EK$19)/4)+EJ101*8),"0"),".",TEXT((BITWISE_AND('IP Address (no mod)'!$D$21,EK$19)*64)+EG$76*10+EI101,"0")))</f>
        <v>10.0.43.246</v>
      </c>
      <c r="EM101" s="100">
        <f t="shared" si="61"/>
        <v>0</v>
      </c>
      <c r="EN101" s="117"/>
    </row>
    <row r="102" spans="2:144" ht="15.75" thickBot="1">
      <c r="B102" s="115"/>
      <c r="C102" s="55"/>
      <c r="D102" s="330"/>
      <c r="E102" s="16" t="s">
        <v>341</v>
      </c>
      <c r="F102" s="87">
        <v>25</v>
      </c>
      <c r="G102" s="87">
        <v>99</v>
      </c>
      <c r="H102" s="167"/>
      <c r="I102" s="18"/>
      <c r="J102" s="100">
        <f t="shared" si="47"/>
        <v>0</v>
      </c>
      <c r="K102" s="117"/>
      <c r="EE102" s="111"/>
      <c r="EF102" s="55"/>
      <c r="EG102" s="330"/>
      <c r="EH102" s="87" t="s">
        <v>341</v>
      </c>
      <c r="EI102" s="87">
        <v>25</v>
      </c>
      <c r="EJ102" s="87">
        <v>99</v>
      </c>
      <c r="EK102" s="114"/>
      <c r="EL102" s="18" t="str">
        <f>IF(EJ102=99,"",CONCATENATE("10.0.",TEXT(((BITWISE_AND('IP Address (no mod)'!$D$20,EK$19)/4)+EJ102*8),"0"),".",TEXT((BITWISE_AND('IP Address (no mod)'!$D$21,EK$19)*64)+EG$76*10+EI102,"0")))</f>
        <v/>
      </c>
      <c r="EM102" s="100">
        <f t="shared" si="61"/>
        <v>0</v>
      </c>
      <c r="EN102" s="117"/>
    </row>
    <row r="103" spans="2:144">
      <c r="B103" s="115"/>
      <c r="C103" s="55"/>
      <c r="D103" s="330"/>
      <c r="E103" s="76"/>
      <c r="F103" s="76">
        <v>30</v>
      </c>
      <c r="G103" s="76">
        <v>4</v>
      </c>
      <c r="H103" s="1" t="s">
        <v>292</v>
      </c>
      <c r="I103" s="4" t="str">
        <f>IF(G103=99,"",CONCATENATE("10.0.",TEXT(((BITWISE_AND('IP Address (no mod)'!$D$20,H$19)/4)+G103*8),"0"),".",TEXT((BITWISE_AND('IP Address (no mod)'!$D$21,H$19)*64)+D$76*10+F103,"0")))</f>
        <v>10.0.32.124</v>
      </c>
      <c r="J103" s="100">
        <f t="shared" si="47"/>
        <v>0</v>
      </c>
      <c r="K103" s="117"/>
      <c r="EE103" s="111"/>
      <c r="EF103" s="55"/>
      <c r="EG103" s="330"/>
      <c r="EH103" s="76"/>
      <c r="EI103" s="76">
        <v>30</v>
      </c>
      <c r="EJ103" s="76">
        <v>4</v>
      </c>
      <c r="EK103" s="1" t="s">
        <v>292</v>
      </c>
      <c r="EL103" s="4" t="str">
        <f>IF(EJ103=99,"",CONCATENATE("10.0.",TEXT(((BITWISE_AND('IP Address (no mod)'!$D$20,EK$19)/4)+EJ103*8),"0"),".",TEXT((BITWISE_AND('IP Address (no mod)'!$D$21,EK$19)*64)+EG$76*10+EI103,"0")))</f>
        <v>10.0.35.252</v>
      </c>
      <c r="EM103" s="100">
        <f t="shared" si="61"/>
        <v>0</v>
      </c>
      <c r="EN103" s="117"/>
    </row>
    <row r="104" spans="2:144">
      <c r="B104" s="115"/>
      <c r="C104" s="55"/>
      <c r="D104" s="330"/>
      <c r="E104" s="76"/>
      <c r="F104" s="76">
        <v>30</v>
      </c>
      <c r="G104" s="76">
        <v>5</v>
      </c>
      <c r="H104" s="1" t="s">
        <v>342</v>
      </c>
      <c r="I104" s="4" t="str">
        <f>IF(G104=99,"",CONCATENATE("10.0.",TEXT(((BITWISE_AND('IP Address (no mod)'!$D$20,H$19)/4)+G104*8),"0"),".",TEXT((BITWISE_AND('IP Address (no mod)'!$D$21,H$19)*64)+D$76*10+F104,"0")))</f>
        <v>10.0.40.124</v>
      </c>
      <c r="J104" s="100">
        <f t="shared" si="47"/>
        <v>0</v>
      </c>
      <c r="K104" s="117"/>
      <c r="EE104" s="111"/>
      <c r="EF104" s="55"/>
      <c r="EG104" s="330"/>
      <c r="EH104" s="76"/>
      <c r="EI104" s="76">
        <v>30</v>
      </c>
      <c r="EJ104" s="76">
        <v>5</v>
      </c>
      <c r="EK104" s="1" t="s">
        <v>342</v>
      </c>
      <c r="EL104" s="4" t="str">
        <f>IF(EJ104=99,"",CONCATENATE("10.0.",TEXT(((BITWISE_AND('IP Address (no mod)'!$D$20,EK$19)/4)+EJ104*8),"0"),".",TEXT((BITWISE_AND('IP Address (no mod)'!$D$21,EK$19)*64)+EG$76*10+EI104,"0")))</f>
        <v>10.0.43.252</v>
      </c>
      <c r="EM104" s="100">
        <f t="shared" si="61"/>
        <v>0</v>
      </c>
      <c r="EN104" s="117"/>
    </row>
    <row r="105" spans="2:144">
      <c r="B105" s="115"/>
      <c r="C105" s="55"/>
      <c r="D105" s="330"/>
      <c r="E105" s="76"/>
      <c r="F105" s="76">
        <v>30</v>
      </c>
      <c r="G105" s="76">
        <v>6</v>
      </c>
      <c r="H105" s="1" t="s">
        <v>343</v>
      </c>
      <c r="I105" s="4" t="str">
        <f>IF(G105=99,"",CONCATENATE("10.0.",TEXT(((BITWISE_AND('IP Address (no mod)'!$D$20,H$19)/4)+G105*8),"0"),".",TEXT((BITWISE_AND('IP Address (no mod)'!$D$21,H$19)*64)+D$76*10+F105,"0")))</f>
        <v>10.0.48.124</v>
      </c>
      <c r="J105" s="100">
        <f t="shared" si="47"/>
        <v>0</v>
      </c>
      <c r="K105" s="117"/>
      <c r="EE105" s="111"/>
      <c r="EF105" s="55"/>
      <c r="EG105" s="330"/>
      <c r="EH105" s="76"/>
      <c r="EI105" s="76">
        <v>30</v>
      </c>
      <c r="EJ105" s="76">
        <v>6</v>
      </c>
      <c r="EK105" s="1" t="s">
        <v>343</v>
      </c>
      <c r="EL105" s="4" t="str">
        <f>IF(EJ105=99,"",CONCATENATE("10.0.",TEXT(((BITWISE_AND('IP Address (no mod)'!$D$20,EK$19)/4)+EJ105*8),"0"),".",TEXT((BITWISE_AND('IP Address (no mod)'!$D$21,EK$19)*64)+EG$76*10+EI105,"0")))</f>
        <v>10.0.51.252</v>
      </c>
      <c r="EM105" s="100">
        <f t="shared" si="61"/>
        <v>0</v>
      </c>
      <c r="EN105" s="117"/>
    </row>
    <row r="106" spans="2:144">
      <c r="B106" s="115"/>
      <c r="C106" s="55"/>
      <c r="D106" s="330"/>
      <c r="E106" s="76"/>
      <c r="F106" s="76">
        <v>30</v>
      </c>
      <c r="G106" s="76">
        <v>7</v>
      </c>
      <c r="H106" s="1" t="s">
        <v>344</v>
      </c>
      <c r="I106" s="4" t="str">
        <f>IF(G106=99,"",CONCATENATE("10.0.",TEXT(((BITWISE_AND('IP Address (no mod)'!$D$20,H$19)/4)+G106*8),"0"),".",TEXT((BITWISE_AND('IP Address (no mod)'!$D$21,H$19)*64)+D$76*10+F106,"0")))</f>
        <v>10.0.56.124</v>
      </c>
      <c r="J106" s="100">
        <f t="shared" si="47"/>
        <v>0</v>
      </c>
      <c r="K106" s="117"/>
      <c r="EE106" s="111"/>
      <c r="EF106" s="55"/>
      <c r="EG106" s="330"/>
      <c r="EH106" s="76"/>
      <c r="EI106" s="76">
        <v>30</v>
      </c>
      <c r="EJ106" s="76">
        <v>7</v>
      </c>
      <c r="EK106" s="1" t="s">
        <v>344</v>
      </c>
      <c r="EL106" s="4" t="str">
        <f>IF(EJ106=99,"",CONCATENATE("10.0.",TEXT(((BITWISE_AND('IP Address (no mod)'!$D$20,EK$19)/4)+EJ106*8),"0"),".",TEXT((BITWISE_AND('IP Address (no mod)'!$D$21,EK$19)*64)+EG$76*10+EI106,"0")))</f>
        <v>10.0.59.252</v>
      </c>
      <c r="EM106" s="100">
        <f t="shared" si="61"/>
        <v>0</v>
      </c>
      <c r="EN106" s="117"/>
    </row>
    <row r="107" spans="2:144">
      <c r="B107" s="115"/>
      <c r="C107" s="55"/>
      <c r="D107" s="330"/>
      <c r="E107" s="76"/>
      <c r="F107" s="76"/>
      <c r="G107" s="76"/>
      <c r="H107" s="1" t="s">
        <v>293</v>
      </c>
      <c r="I107" s="4" t="s">
        <v>124</v>
      </c>
      <c r="J107" s="100">
        <f t="shared" si="47"/>
        <v>1</v>
      </c>
      <c r="K107" s="117"/>
      <c r="EE107" s="111"/>
      <c r="EF107" s="55"/>
      <c r="EG107" s="330"/>
      <c r="EH107" s="76"/>
      <c r="EI107" s="76"/>
      <c r="EJ107" s="76"/>
      <c r="EK107" s="1" t="s">
        <v>293</v>
      </c>
      <c r="EL107" s="4" t="s">
        <v>124</v>
      </c>
      <c r="EM107" s="100">
        <f t="shared" si="61"/>
        <v>1</v>
      </c>
      <c r="EN107" s="117"/>
    </row>
    <row r="108" spans="2:144">
      <c r="B108" s="115"/>
      <c r="C108" s="55"/>
      <c r="D108" s="330"/>
      <c r="E108" s="76"/>
      <c r="F108" s="76"/>
      <c r="G108" s="76"/>
      <c r="H108" s="1" t="s">
        <v>301</v>
      </c>
      <c r="I108" s="4" t="s">
        <v>345</v>
      </c>
      <c r="J108" s="100">
        <f t="shared" si="47"/>
        <v>1</v>
      </c>
      <c r="K108" s="117"/>
      <c r="EE108" s="111"/>
      <c r="EF108" s="55"/>
      <c r="EG108" s="330"/>
      <c r="EH108" s="76"/>
      <c r="EI108" s="76"/>
      <c r="EJ108" s="76"/>
      <c r="EK108" s="1" t="s">
        <v>301</v>
      </c>
      <c r="EL108" s="4" t="s">
        <v>345</v>
      </c>
      <c r="EM108" s="100">
        <f t="shared" si="61"/>
        <v>1</v>
      </c>
      <c r="EN108" s="117"/>
    </row>
    <row r="109" spans="2:144">
      <c r="B109" s="115"/>
      <c r="C109" s="55"/>
      <c r="D109" s="330"/>
      <c r="E109" s="76"/>
      <c r="F109" s="76"/>
      <c r="G109" s="76"/>
      <c r="H109" s="1" t="s">
        <v>346</v>
      </c>
      <c r="I109" s="4" t="s">
        <v>347</v>
      </c>
      <c r="J109" s="100">
        <f t="shared" si="47"/>
        <v>1</v>
      </c>
      <c r="K109" s="117"/>
      <c r="EE109" s="111"/>
      <c r="EF109" s="55"/>
      <c r="EG109" s="330"/>
      <c r="EH109" s="76"/>
      <c r="EI109" s="76"/>
      <c r="EJ109" s="76"/>
      <c r="EK109" s="1" t="s">
        <v>346</v>
      </c>
      <c r="EL109" s="4" t="s">
        <v>347</v>
      </c>
      <c r="EM109" s="100">
        <f t="shared" si="61"/>
        <v>1</v>
      </c>
      <c r="EN109" s="117"/>
    </row>
    <row r="110" spans="2:144">
      <c r="B110" s="115"/>
      <c r="C110" s="55"/>
      <c r="D110" s="330"/>
      <c r="E110" s="76"/>
      <c r="F110" s="76"/>
      <c r="G110" s="76"/>
      <c r="H110" s="1" t="s">
        <v>348</v>
      </c>
      <c r="I110" s="4" t="s">
        <v>349</v>
      </c>
      <c r="J110" s="100">
        <f t="shared" si="47"/>
        <v>1</v>
      </c>
      <c r="K110" s="117"/>
      <c r="EE110" s="111"/>
      <c r="EF110" s="55"/>
      <c r="EG110" s="330"/>
      <c r="EH110" s="76"/>
      <c r="EI110" s="76"/>
      <c r="EJ110" s="76"/>
      <c r="EK110" s="1" t="s">
        <v>348</v>
      </c>
      <c r="EL110" s="4" t="s">
        <v>349</v>
      </c>
      <c r="EM110" s="100">
        <f t="shared" si="61"/>
        <v>1</v>
      </c>
      <c r="EN110" s="117"/>
    </row>
    <row r="111" spans="2:144" ht="15.75" thickBot="1">
      <c r="B111" s="115"/>
      <c r="C111" s="55"/>
      <c r="D111" s="331"/>
      <c r="E111" s="87"/>
      <c r="F111" s="87"/>
      <c r="G111" s="87"/>
      <c r="H111" s="17" t="s">
        <v>350</v>
      </c>
      <c r="I111" s="18" t="s">
        <v>351</v>
      </c>
      <c r="J111" s="100">
        <f t="shared" si="47"/>
        <v>1</v>
      </c>
      <c r="K111" s="117"/>
      <c r="EE111" s="111"/>
      <c r="EF111" s="55"/>
      <c r="EG111" s="331"/>
      <c r="EH111" s="87"/>
      <c r="EI111" s="87"/>
      <c r="EJ111" s="87"/>
      <c r="EK111" s="17" t="s">
        <v>350</v>
      </c>
      <c r="EL111" s="18" t="s">
        <v>351</v>
      </c>
      <c r="EM111" s="100">
        <f t="shared" si="61"/>
        <v>1</v>
      </c>
      <c r="EN111" s="117"/>
    </row>
    <row r="112" spans="2:144" ht="15.75" thickBot="1">
      <c r="B112" s="116"/>
      <c r="C112" s="108"/>
      <c r="D112" s="108"/>
      <c r="E112" s="108"/>
      <c r="F112" s="108"/>
      <c r="G112" s="108"/>
      <c r="H112" s="108"/>
      <c r="I112" s="112"/>
      <c r="J112" s="112"/>
      <c r="K112" s="105"/>
      <c r="EE112" s="118"/>
      <c r="EF112" s="108"/>
      <c r="EG112" s="108"/>
      <c r="EH112" s="108"/>
      <c r="EI112" s="108"/>
      <c r="EJ112" s="108"/>
      <c r="EK112" s="108"/>
      <c r="EL112" s="112"/>
      <c r="EM112" s="112"/>
      <c r="EN112" s="105"/>
    </row>
  </sheetData>
  <mergeCells count="123">
    <mergeCell ref="EG64:EG73"/>
    <mergeCell ref="EG77:EG111"/>
    <mergeCell ref="DX77:DX86"/>
    <mergeCell ref="DF77:DF86"/>
    <mergeCell ref="DO77:DO86"/>
    <mergeCell ref="CN77:CN86"/>
    <mergeCell ref="CW77:CW86"/>
    <mergeCell ref="EF60:EL60"/>
    <mergeCell ref="DW60:ED60"/>
    <mergeCell ref="DE60:DL60"/>
    <mergeCell ref="DN60:DU60"/>
    <mergeCell ref="BD77:BD86"/>
    <mergeCell ref="BM77:BM86"/>
    <mergeCell ref="AU77:AU86"/>
    <mergeCell ref="AE77:AE86"/>
    <mergeCell ref="M77:M86"/>
    <mergeCell ref="V77:V86"/>
    <mergeCell ref="D77:D111"/>
    <mergeCell ref="DX64:DX73"/>
    <mergeCell ref="AU64:AU73"/>
    <mergeCell ref="BD64:BD73"/>
    <mergeCell ref="BM64:BM73"/>
    <mergeCell ref="CN64:CN73"/>
    <mergeCell ref="CW64:CW73"/>
    <mergeCell ref="DF64:DF73"/>
    <mergeCell ref="DO64:DO73"/>
    <mergeCell ref="BV77:BV86"/>
    <mergeCell ref="CE77:CE86"/>
    <mergeCell ref="BV64:BV73"/>
    <mergeCell ref="CE64:CE73"/>
    <mergeCell ref="BV37:BV46"/>
    <mergeCell ref="BM24:BM33"/>
    <mergeCell ref="BM37:BM46"/>
    <mergeCell ref="DX19:EA19"/>
    <mergeCell ref="DN20:DU20"/>
    <mergeCell ref="DW20:ED20"/>
    <mergeCell ref="EF20:EM20"/>
    <mergeCell ref="DF24:DF33"/>
    <mergeCell ref="DO24:DO33"/>
    <mergeCell ref="DX24:DX33"/>
    <mergeCell ref="EG24:EG33"/>
    <mergeCell ref="DX37:DX46"/>
    <mergeCell ref="DO37:DO46"/>
    <mergeCell ref="DF37:DF46"/>
    <mergeCell ref="EG37:EG55"/>
    <mergeCell ref="DF59:DI59"/>
    <mergeCell ref="DO59:DR59"/>
    <mergeCell ref="DX59:EA59"/>
    <mergeCell ref="EG59:EJ59"/>
    <mergeCell ref="CW19:CZ19"/>
    <mergeCell ref="DF19:DI19"/>
    <mergeCell ref="CV20:DC20"/>
    <mergeCell ref="DE20:DL20"/>
    <mergeCell ref="EG19:EJ19"/>
    <mergeCell ref="DO19:DR19"/>
    <mergeCell ref="CW37:CW46"/>
    <mergeCell ref="BL60:BS60"/>
    <mergeCell ref="BM19:BP19"/>
    <mergeCell ref="BV24:BV33"/>
    <mergeCell ref="CE24:CE33"/>
    <mergeCell ref="CN24:CN33"/>
    <mergeCell ref="CW24:CW33"/>
    <mergeCell ref="CW59:CZ59"/>
    <mergeCell ref="CV60:DC60"/>
    <mergeCell ref="BU60:CB60"/>
    <mergeCell ref="CD60:CK60"/>
    <mergeCell ref="CM60:CT60"/>
    <mergeCell ref="BL20:BS20"/>
    <mergeCell ref="BU20:CB20"/>
    <mergeCell ref="BV19:BY19"/>
    <mergeCell ref="CE19:CH19"/>
    <mergeCell ref="CN19:CQ19"/>
    <mergeCell ref="BM59:BP59"/>
    <mergeCell ref="BV59:BY59"/>
    <mergeCell ref="CE59:CH59"/>
    <mergeCell ref="CN59:CQ59"/>
    <mergeCell ref="CD20:CK20"/>
    <mergeCell ref="CM20:CT20"/>
    <mergeCell ref="CN37:CN46"/>
    <mergeCell ref="CE37:CE46"/>
    <mergeCell ref="BD19:BG19"/>
    <mergeCell ref="C60:I60"/>
    <mergeCell ref="L60:S60"/>
    <mergeCell ref="AD60:AR60"/>
    <mergeCell ref="AT60:BA60"/>
    <mergeCell ref="D59:G59"/>
    <mergeCell ref="M59:P59"/>
    <mergeCell ref="V59:Y59"/>
    <mergeCell ref="AE59:AH59"/>
    <mergeCell ref="BD24:BD33"/>
    <mergeCell ref="BD37:BD46"/>
    <mergeCell ref="BC60:BJ60"/>
    <mergeCell ref="BD59:BG59"/>
    <mergeCell ref="L20:S20"/>
    <mergeCell ref="U20:AB20"/>
    <mergeCell ref="AT20:BA20"/>
    <mergeCell ref="BC20:BJ20"/>
    <mergeCell ref="M37:M46"/>
    <mergeCell ref="D37:D55"/>
    <mergeCell ref="A18:A56"/>
    <mergeCell ref="A58:A88"/>
    <mergeCell ref="D19:G19"/>
    <mergeCell ref="M19:P19"/>
    <mergeCell ref="V19:Y19"/>
    <mergeCell ref="AE19:AH19"/>
    <mergeCell ref="C20:I20"/>
    <mergeCell ref="AU19:AX19"/>
    <mergeCell ref="D24:D33"/>
    <mergeCell ref="M24:M33"/>
    <mergeCell ref="V24:V33"/>
    <mergeCell ref="AE24:AE33"/>
    <mergeCell ref="AL24:AL38"/>
    <mergeCell ref="AU24:AU33"/>
    <mergeCell ref="D64:D73"/>
    <mergeCell ref="M64:M73"/>
    <mergeCell ref="AD20:AR20"/>
    <mergeCell ref="V64:V73"/>
    <mergeCell ref="AE64:AE73"/>
    <mergeCell ref="U60:AB60"/>
    <mergeCell ref="AU59:AX59"/>
    <mergeCell ref="AU37:AU46"/>
    <mergeCell ref="V37:V46"/>
    <mergeCell ref="AE37:AE46"/>
  </mergeCells>
  <phoneticPr fontId="16" type="noConversion"/>
  <conditionalFormatting sqref="J23 J37:J55 EM47:EM55 J99:J111 EM99:EM111">
    <cfRule type="cellIs" dxfId="499" priority="415" operator="greaterThan">
      <formula>0</formula>
    </cfRule>
    <cfRule type="cellIs" dxfId="498" priority="416" operator="equal">
      <formula>0</formula>
    </cfRule>
  </conditionalFormatting>
  <conditionalFormatting sqref="J36">
    <cfRule type="cellIs" dxfId="497" priority="411" operator="greaterThan">
      <formula>0</formula>
    </cfRule>
    <cfRule type="cellIs" dxfId="496" priority="412" operator="equal">
      <formula>0</formula>
    </cfRule>
  </conditionalFormatting>
  <conditionalFormatting sqref="S23">
    <cfRule type="cellIs" dxfId="495" priority="409" operator="greaterThan">
      <formula>0</formula>
    </cfRule>
    <cfRule type="cellIs" dxfId="494" priority="410" operator="equal">
      <formula>0</formula>
    </cfRule>
  </conditionalFormatting>
  <conditionalFormatting sqref="S36">
    <cfRule type="cellIs" dxfId="493" priority="407" operator="greaterThan">
      <formula>0</formula>
    </cfRule>
    <cfRule type="cellIs" dxfId="492" priority="408" operator="equal">
      <formula>0</formula>
    </cfRule>
  </conditionalFormatting>
  <conditionalFormatting sqref="AB23">
    <cfRule type="cellIs" dxfId="491" priority="405" operator="greaterThan">
      <formula>0</formula>
    </cfRule>
    <cfRule type="cellIs" dxfId="490" priority="406" operator="equal">
      <formula>0</formula>
    </cfRule>
  </conditionalFormatting>
  <conditionalFormatting sqref="AB36">
    <cfRule type="cellIs" dxfId="489" priority="403" operator="greaterThan">
      <formula>0</formula>
    </cfRule>
    <cfRule type="cellIs" dxfId="488" priority="404" operator="equal">
      <formula>0</formula>
    </cfRule>
  </conditionalFormatting>
  <conditionalFormatting sqref="AK23">
    <cfRule type="cellIs" dxfId="487" priority="401" operator="greaterThan">
      <formula>0</formula>
    </cfRule>
    <cfRule type="cellIs" dxfId="486" priority="402" operator="equal">
      <formula>0</formula>
    </cfRule>
  </conditionalFormatting>
  <conditionalFormatting sqref="AK36">
    <cfRule type="cellIs" dxfId="485" priority="399" operator="greaterThan">
      <formula>0</formula>
    </cfRule>
    <cfRule type="cellIs" dxfId="484" priority="400" operator="equal">
      <formula>0</formula>
    </cfRule>
  </conditionalFormatting>
  <conditionalFormatting sqref="AR23">
    <cfRule type="cellIs" dxfId="483" priority="397" operator="greaterThan">
      <formula>0</formula>
    </cfRule>
    <cfRule type="cellIs" dxfId="482" priority="398" operator="equal">
      <formula>0</formula>
    </cfRule>
  </conditionalFormatting>
  <conditionalFormatting sqref="EM23:EM33">
    <cfRule type="cellIs" dxfId="481" priority="355" operator="greaterThan">
      <formula>0</formula>
    </cfRule>
    <cfRule type="cellIs" dxfId="480" priority="356" operator="equal">
      <formula>0</formula>
    </cfRule>
  </conditionalFormatting>
  <conditionalFormatting sqref="EM36:EM46">
    <cfRule type="cellIs" dxfId="479" priority="353" operator="greaterThan">
      <formula>0</formula>
    </cfRule>
    <cfRule type="cellIs" dxfId="478" priority="354" operator="equal">
      <formula>0</formula>
    </cfRule>
  </conditionalFormatting>
  <conditionalFormatting sqref="J63">
    <cfRule type="cellIs" dxfId="477" priority="291" operator="greaterThan">
      <formula>0</formula>
    </cfRule>
    <cfRule type="cellIs" dxfId="476" priority="292" operator="equal">
      <formula>0</formula>
    </cfRule>
  </conditionalFormatting>
  <conditionalFormatting sqref="S63">
    <cfRule type="cellIs" dxfId="475" priority="289" operator="greaterThan">
      <formula>0</formula>
    </cfRule>
    <cfRule type="cellIs" dxfId="474" priority="290" operator="equal">
      <formula>0</formula>
    </cfRule>
  </conditionalFormatting>
  <conditionalFormatting sqref="AB63">
    <cfRule type="cellIs" dxfId="473" priority="283" operator="greaterThan">
      <formula>0</formula>
    </cfRule>
    <cfRule type="cellIs" dxfId="472" priority="284" operator="equal">
      <formula>0</formula>
    </cfRule>
  </conditionalFormatting>
  <conditionalFormatting sqref="AK63">
    <cfRule type="cellIs" dxfId="471" priority="281" operator="greaterThan">
      <formula>0</formula>
    </cfRule>
    <cfRule type="cellIs" dxfId="470" priority="282" operator="equal">
      <formula>0</formula>
    </cfRule>
  </conditionalFormatting>
  <conditionalFormatting sqref="AK76">
    <cfRule type="cellIs" dxfId="469" priority="237" operator="greaterThan">
      <formula>0</formula>
    </cfRule>
    <cfRule type="cellIs" dxfId="468" priority="238" operator="equal">
      <formula>0</formula>
    </cfRule>
  </conditionalFormatting>
  <conditionalFormatting sqref="AB76">
    <cfRule type="cellIs" dxfId="467" priority="235" operator="greaterThan">
      <formula>0</formula>
    </cfRule>
    <cfRule type="cellIs" dxfId="466" priority="236" operator="equal">
      <formula>0</formula>
    </cfRule>
  </conditionalFormatting>
  <conditionalFormatting sqref="S76">
    <cfRule type="cellIs" dxfId="465" priority="233" operator="greaterThan">
      <formula>0</formula>
    </cfRule>
    <cfRule type="cellIs" dxfId="464" priority="234" operator="equal">
      <formula>0</formula>
    </cfRule>
  </conditionalFormatting>
  <conditionalFormatting sqref="J76">
    <cfRule type="cellIs" dxfId="463" priority="231" operator="greaterThan">
      <formula>0</formula>
    </cfRule>
    <cfRule type="cellIs" dxfId="462" priority="232" operator="equal">
      <formula>0</formula>
    </cfRule>
  </conditionalFormatting>
  <conditionalFormatting sqref="J24:J31 J33">
    <cfRule type="cellIs" dxfId="461" priority="229" operator="greaterThan">
      <formula>0</formula>
    </cfRule>
    <cfRule type="cellIs" dxfId="460" priority="230" operator="equal">
      <formula>0</formula>
    </cfRule>
  </conditionalFormatting>
  <conditionalFormatting sqref="J32">
    <cfRule type="cellIs" dxfId="459" priority="227" operator="greaterThan">
      <formula>0</formula>
    </cfRule>
    <cfRule type="cellIs" dxfId="458" priority="228" operator="equal">
      <formula>0</formula>
    </cfRule>
  </conditionalFormatting>
  <conditionalFormatting sqref="S24:S33">
    <cfRule type="cellIs" dxfId="457" priority="223" operator="greaterThan">
      <formula>0</formula>
    </cfRule>
    <cfRule type="cellIs" dxfId="456" priority="224" operator="equal">
      <formula>0</formula>
    </cfRule>
  </conditionalFormatting>
  <conditionalFormatting sqref="S37:S46">
    <cfRule type="cellIs" dxfId="455" priority="221" operator="greaterThan">
      <formula>0</formula>
    </cfRule>
    <cfRule type="cellIs" dxfId="454" priority="222" operator="equal">
      <formula>0</formula>
    </cfRule>
  </conditionalFormatting>
  <conditionalFormatting sqref="BJ23">
    <cfRule type="cellIs" dxfId="453" priority="219" operator="greaterThan">
      <formula>0</formula>
    </cfRule>
    <cfRule type="cellIs" dxfId="452" priority="220" operator="equal">
      <formula>0</formula>
    </cfRule>
  </conditionalFormatting>
  <conditionalFormatting sqref="BJ36">
    <cfRule type="cellIs" dxfId="451" priority="217" operator="greaterThan">
      <formula>0</formula>
    </cfRule>
    <cfRule type="cellIs" dxfId="450" priority="218" operator="equal">
      <formula>0</formula>
    </cfRule>
  </conditionalFormatting>
  <conditionalFormatting sqref="BJ24:BJ33">
    <cfRule type="cellIs" dxfId="449" priority="215" operator="greaterThan">
      <formula>0</formula>
    </cfRule>
    <cfRule type="cellIs" dxfId="448" priority="216" operator="equal">
      <formula>0</formula>
    </cfRule>
  </conditionalFormatting>
  <conditionalFormatting sqref="BJ37:BJ46">
    <cfRule type="cellIs" dxfId="447" priority="213" operator="greaterThan">
      <formula>0</formula>
    </cfRule>
    <cfRule type="cellIs" dxfId="446" priority="214" operator="equal">
      <formula>0</formula>
    </cfRule>
  </conditionalFormatting>
  <conditionalFormatting sqref="CB23">
    <cfRule type="cellIs" dxfId="445" priority="211" operator="greaterThan">
      <formula>0</formula>
    </cfRule>
    <cfRule type="cellIs" dxfId="444" priority="212" operator="equal">
      <formula>0</formula>
    </cfRule>
  </conditionalFormatting>
  <conditionalFormatting sqref="CB36">
    <cfRule type="cellIs" dxfId="443" priority="209" operator="greaterThan">
      <formula>0</formula>
    </cfRule>
    <cfRule type="cellIs" dxfId="442" priority="210" operator="equal">
      <formula>0</formula>
    </cfRule>
  </conditionalFormatting>
  <conditionalFormatting sqref="CB24:CB33">
    <cfRule type="cellIs" dxfId="441" priority="207" operator="greaterThan">
      <formula>0</formula>
    </cfRule>
    <cfRule type="cellIs" dxfId="440" priority="208" operator="equal">
      <formula>0</formula>
    </cfRule>
  </conditionalFormatting>
  <conditionalFormatting sqref="CB37:CB46">
    <cfRule type="cellIs" dxfId="439" priority="205" operator="greaterThan">
      <formula>0</formula>
    </cfRule>
    <cfRule type="cellIs" dxfId="438" priority="206" operator="equal">
      <formula>0</formula>
    </cfRule>
  </conditionalFormatting>
  <conditionalFormatting sqref="CT23">
    <cfRule type="cellIs" dxfId="437" priority="203" operator="greaterThan">
      <formula>0</formula>
    </cfRule>
    <cfRule type="cellIs" dxfId="436" priority="204" operator="equal">
      <formula>0</formula>
    </cfRule>
  </conditionalFormatting>
  <conditionalFormatting sqref="CT36">
    <cfRule type="cellIs" dxfId="435" priority="201" operator="greaterThan">
      <formula>0</formula>
    </cfRule>
    <cfRule type="cellIs" dxfId="434" priority="202" operator="equal">
      <formula>0</formula>
    </cfRule>
  </conditionalFormatting>
  <conditionalFormatting sqref="CT24:CT33">
    <cfRule type="cellIs" dxfId="433" priority="199" operator="greaterThan">
      <formula>0</formula>
    </cfRule>
    <cfRule type="cellIs" dxfId="432" priority="200" operator="equal">
      <formula>0</formula>
    </cfRule>
  </conditionalFormatting>
  <conditionalFormatting sqref="CT37:CT46">
    <cfRule type="cellIs" dxfId="431" priority="197" operator="greaterThan">
      <formula>0</formula>
    </cfRule>
    <cfRule type="cellIs" dxfId="430" priority="198" operator="equal">
      <formula>0</formula>
    </cfRule>
  </conditionalFormatting>
  <conditionalFormatting sqref="DL23">
    <cfRule type="cellIs" dxfId="429" priority="195" operator="greaterThan">
      <formula>0</formula>
    </cfRule>
    <cfRule type="cellIs" dxfId="428" priority="196" operator="equal">
      <formula>0</formula>
    </cfRule>
  </conditionalFormatting>
  <conditionalFormatting sqref="DL36">
    <cfRule type="cellIs" dxfId="427" priority="193" operator="greaterThan">
      <formula>0</formula>
    </cfRule>
    <cfRule type="cellIs" dxfId="426" priority="194" operator="equal">
      <formula>0</formula>
    </cfRule>
  </conditionalFormatting>
  <conditionalFormatting sqref="DL24:DL33">
    <cfRule type="cellIs" dxfId="425" priority="191" operator="greaterThan">
      <formula>0</formula>
    </cfRule>
    <cfRule type="cellIs" dxfId="424" priority="192" operator="equal">
      <formula>0</formula>
    </cfRule>
  </conditionalFormatting>
  <conditionalFormatting sqref="DL37:DL46">
    <cfRule type="cellIs" dxfId="423" priority="189" operator="greaterThan">
      <formula>0</formula>
    </cfRule>
    <cfRule type="cellIs" dxfId="422" priority="190" operator="equal">
      <formula>0</formula>
    </cfRule>
  </conditionalFormatting>
  <conditionalFormatting sqref="ED23">
    <cfRule type="cellIs" dxfId="421" priority="187" operator="greaterThan">
      <formula>0</formula>
    </cfRule>
    <cfRule type="cellIs" dxfId="420" priority="188" operator="equal">
      <formula>0</formula>
    </cfRule>
  </conditionalFormatting>
  <conditionalFormatting sqref="ED36">
    <cfRule type="cellIs" dxfId="419" priority="185" operator="greaterThan">
      <formula>0</formula>
    </cfRule>
    <cfRule type="cellIs" dxfId="418" priority="186" operator="equal">
      <formula>0</formula>
    </cfRule>
  </conditionalFormatting>
  <conditionalFormatting sqref="ED24:ED33">
    <cfRule type="cellIs" dxfId="417" priority="183" operator="greaterThan">
      <formula>0</formula>
    </cfRule>
    <cfRule type="cellIs" dxfId="416" priority="184" operator="equal">
      <formula>0</formula>
    </cfRule>
  </conditionalFormatting>
  <conditionalFormatting sqref="ED37:ED46">
    <cfRule type="cellIs" dxfId="415" priority="181" operator="greaterThan">
      <formula>0</formula>
    </cfRule>
    <cfRule type="cellIs" dxfId="414" priority="182" operator="equal">
      <formula>0</formula>
    </cfRule>
  </conditionalFormatting>
  <conditionalFormatting sqref="AB24:AB33">
    <cfRule type="cellIs" dxfId="413" priority="177" operator="greaterThan">
      <formula>0</formula>
    </cfRule>
    <cfRule type="cellIs" dxfId="412" priority="178" operator="equal">
      <formula>0</formula>
    </cfRule>
  </conditionalFormatting>
  <conditionalFormatting sqref="AB37:AB46">
    <cfRule type="cellIs" dxfId="411" priority="173" operator="greaterThan">
      <formula>0</formula>
    </cfRule>
    <cfRule type="cellIs" dxfId="410" priority="174" operator="equal">
      <formula>0</formula>
    </cfRule>
  </conditionalFormatting>
  <conditionalFormatting sqref="BA23">
    <cfRule type="cellIs" dxfId="409" priority="171" operator="greaterThan">
      <formula>0</formula>
    </cfRule>
    <cfRule type="cellIs" dxfId="408" priority="172" operator="equal">
      <formula>0</formula>
    </cfRule>
  </conditionalFormatting>
  <conditionalFormatting sqref="BA36">
    <cfRule type="cellIs" dxfId="407" priority="169" operator="greaterThan">
      <formula>0</formula>
    </cfRule>
    <cfRule type="cellIs" dxfId="406" priority="170" operator="equal">
      <formula>0</formula>
    </cfRule>
  </conditionalFormatting>
  <conditionalFormatting sqref="BA24:BA33">
    <cfRule type="cellIs" dxfId="405" priority="167" operator="greaterThan">
      <formula>0</formula>
    </cfRule>
    <cfRule type="cellIs" dxfId="404" priority="168" operator="equal">
      <formula>0</formula>
    </cfRule>
  </conditionalFormatting>
  <conditionalFormatting sqref="BA37:BA46">
    <cfRule type="cellIs" dxfId="403" priority="165" operator="greaterThan">
      <formula>0</formula>
    </cfRule>
    <cfRule type="cellIs" dxfId="402" priority="166" operator="equal">
      <formula>0</formula>
    </cfRule>
  </conditionalFormatting>
  <conditionalFormatting sqref="BS23">
    <cfRule type="cellIs" dxfId="401" priority="163" operator="greaterThan">
      <formula>0</formula>
    </cfRule>
    <cfRule type="cellIs" dxfId="400" priority="164" operator="equal">
      <formula>0</formula>
    </cfRule>
  </conditionalFormatting>
  <conditionalFormatting sqref="BS36">
    <cfRule type="cellIs" dxfId="399" priority="161" operator="greaterThan">
      <formula>0</formula>
    </cfRule>
    <cfRule type="cellIs" dxfId="398" priority="162" operator="equal">
      <formula>0</formula>
    </cfRule>
  </conditionalFormatting>
  <conditionalFormatting sqref="BS24:BS33">
    <cfRule type="cellIs" dxfId="397" priority="159" operator="greaterThan">
      <formula>0</formula>
    </cfRule>
    <cfRule type="cellIs" dxfId="396" priority="160" operator="equal">
      <formula>0</formula>
    </cfRule>
  </conditionalFormatting>
  <conditionalFormatting sqref="BS37:BS46">
    <cfRule type="cellIs" dxfId="395" priority="157" operator="greaterThan">
      <formula>0</formula>
    </cfRule>
    <cfRule type="cellIs" dxfId="394" priority="158" operator="equal">
      <formula>0</formula>
    </cfRule>
  </conditionalFormatting>
  <conditionalFormatting sqref="CK23">
    <cfRule type="cellIs" dxfId="393" priority="155" operator="greaterThan">
      <formula>0</formula>
    </cfRule>
    <cfRule type="cellIs" dxfId="392" priority="156" operator="equal">
      <formula>0</formula>
    </cfRule>
  </conditionalFormatting>
  <conditionalFormatting sqref="CK36">
    <cfRule type="cellIs" dxfId="391" priority="153" operator="greaterThan">
      <formula>0</formula>
    </cfRule>
    <cfRule type="cellIs" dxfId="390" priority="154" operator="equal">
      <formula>0</formula>
    </cfRule>
  </conditionalFormatting>
  <conditionalFormatting sqref="CK24:CK33">
    <cfRule type="cellIs" dxfId="389" priority="151" operator="greaterThan">
      <formula>0</formula>
    </cfRule>
    <cfRule type="cellIs" dxfId="388" priority="152" operator="equal">
      <formula>0</formula>
    </cfRule>
  </conditionalFormatting>
  <conditionalFormatting sqref="CK37:CK46">
    <cfRule type="cellIs" dxfId="387" priority="149" operator="greaterThan">
      <formula>0</formula>
    </cfRule>
    <cfRule type="cellIs" dxfId="386" priority="150" operator="equal">
      <formula>0</formula>
    </cfRule>
  </conditionalFormatting>
  <conditionalFormatting sqref="DC23">
    <cfRule type="cellIs" dxfId="385" priority="147" operator="greaterThan">
      <formula>0</formula>
    </cfRule>
    <cfRule type="cellIs" dxfId="384" priority="148" operator="equal">
      <formula>0</formula>
    </cfRule>
  </conditionalFormatting>
  <conditionalFormatting sqref="DC36">
    <cfRule type="cellIs" dxfId="383" priority="145" operator="greaterThan">
      <formula>0</formula>
    </cfRule>
    <cfRule type="cellIs" dxfId="382" priority="146" operator="equal">
      <formula>0</formula>
    </cfRule>
  </conditionalFormatting>
  <conditionalFormatting sqref="DC24:DC33">
    <cfRule type="cellIs" dxfId="381" priority="143" operator="greaterThan">
      <formula>0</formula>
    </cfRule>
    <cfRule type="cellIs" dxfId="380" priority="144" operator="equal">
      <formula>0</formula>
    </cfRule>
  </conditionalFormatting>
  <conditionalFormatting sqref="DC37:DC46">
    <cfRule type="cellIs" dxfId="379" priority="141" operator="greaterThan">
      <formula>0</formula>
    </cfRule>
    <cfRule type="cellIs" dxfId="378" priority="142" operator="equal">
      <formula>0</formula>
    </cfRule>
  </conditionalFormatting>
  <conditionalFormatting sqref="DU23">
    <cfRule type="cellIs" dxfId="377" priority="139" operator="greaterThan">
      <formula>0</formula>
    </cfRule>
    <cfRule type="cellIs" dxfId="376" priority="140" operator="equal">
      <formula>0</formula>
    </cfRule>
  </conditionalFormatting>
  <conditionalFormatting sqref="DU36">
    <cfRule type="cellIs" dxfId="375" priority="137" operator="greaterThan">
      <formula>0</formula>
    </cfRule>
    <cfRule type="cellIs" dxfId="374" priority="138" operator="equal">
      <formula>0</formula>
    </cfRule>
  </conditionalFormatting>
  <conditionalFormatting sqref="DU24:DU33">
    <cfRule type="cellIs" dxfId="373" priority="135" operator="greaterThan">
      <formula>0</formula>
    </cfRule>
    <cfRule type="cellIs" dxfId="372" priority="136" operator="equal">
      <formula>0</formula>
    </cfRule>
  </conditionalFormatting>
  <conditionalFormatting sqref="DU37:DU46">
    <cfRule type="cellIs" dxfId="371" priority="133" operator="greaterThan">
      <formula>0</formula>
    </cfRule>
    <cfRule type="cellIs" dxfId="370" priority="134" operator="equal">
      <formula>0</formula>
    </cfRule>
  </conditionalFormatting>
  <conditionalFormatting sqref="AK24:AK33">
    <cfRule type="cellIs" dxfId="369" priority="129" operator="greaterThan">
      <formula>0</formula>
    </cfRule>
    <cfRule type="cellIs" dxfId="368" priority="130" operator="equal">
      <formula>0</formula>
    </cfRule>
  </conditionalFormatting>
  <conditionalFormatting sqref="AK37:AK46">
    <cfRule type="cellIs" dxfId="367" priority="125" operator="greaterThan">
      <formula>0</formula>
    </cfRule>
    <cfRule type="cellIs" dxfId="366" priority="126" operator="equal">
      <formula>0</formula>
    </cfRule>
  </conditionalFormatting>
  <conditionalFormatting sqref="AR24:AR33">
    <cfRule type="cellIs" dxfId="365" priority="121" operator="greaterThan">
      <formula>0</formula>
    </cfRule>
    <cfRule type="cellIs" dxfId="364" priority="122" operator="equal">
      <formula>0</formula>
    </cfRule>
  </conditionalFormatting>
  <conditionalFormatting sqref="J64:J73">
    <cfRule type="cellIs" dxfId="363" priority="119" operator="greaterThan">
      <formula>0</formula>
    </cfRule>
    <cfRule type="cellIs" dxfId="362" priority="120" operator="equal">
      <formula>0</formula>
    </cfRule>
  </conditionalFormatting>
  <conditionalFormatting sqref="J77:J92">
    <cfRule type="cellIs" dxfId="361" priority="115" operator="greaterThan">
      <formula>0</formula>
    </cfRule>
    <cfRule type="cellIs" dxfId="360" priority="116" operator="equal">
      <formula>0</formula>
    </cfRule>
  </conditionalFormatting>
  <conditionalFormatting sqref="J93:J98">
    <cfRule type="cellIs" dxfId="359" priority="113" operator="greaterThan">
      <formula>0</formula>
    </cfRule>
    <cfRule type="cellIs" dxfId="358" priority="114" operator="equal">
      <formula>0</formula>
    </cfRule>
  </conditionalFormatting>
  <conditionalFormatting sqref="EM63">
    <cfRule type="cellIs" dxfId="357" priority="111" operator="greaterThan">
      <formula>0</formula>
    </cfRule>
    <cfRule type="cellIs" dxfId="356" priority="112" operator="equal">
      <formula>0</formula>
    </cfRule>
  </conditionalFormatting>
  <conditionalFormatting sqref="EM76">
    <cfRule type="cellIs" dxfId="355" priority="109" operator="greaterThan">
      <formula>0</formula>
    </cfRule>
    <cfRule type="cellIs" dxfId="354" priority="110" operator="equal">
      <formula>0</formula>
    </cfRule>
  </conditionalFormatting>
  <conditionalFormatting sqref="EM64:EM73">
    <cfRule type="cellIs" dxfId="353" priority="107" operator="greaterThan">
      <formula>0</formula>
    </cfRule>
    <cfRule type="cellIs" dxfId="352" priority="108" operator="equal">
      <formula>0</formula>
    </cfRule>
  </conditionalFormatting>
  <conditionalFormatting sqref="EM77:EM92">
    <cfRule type="cellIs" dxfId="351" priority="105" operator="greaterThan">
      <formula>0</formula>
    </cfRule>
    <cfRule type="cellIs" dxfId="350" priority="106" operator="equal">
      <formula>0</formula>
    </cfRule>
  </conditionalFormatting>
  <conditionalFormatting sqref="EM93:EM98">
    <cfRule type="cellIs" dxfId="349" priority="103" operator="greaterThan">
      <formula>0</formula>
    </cfRule>
    <cfRule type="cellIs" dxfId="348" priority="104" operator="equal">
      <formula>0</formula>
    </cfRule>
  </conditionalFormatting>
  <conditionalFormatting sqref="S64:S73">
    <cfRule type="cellIs" dxfId="347" priority="99" operator="greaterThan">
      <formula>0</formula>
    </cfRule>
    <cfRule type="cellIs" dxfId="346" priority="100" operator="equal">
      <formula>0</formula>
    </cfRule>
  </conditionalFormatting>
  <conditionalFormatting sqref="S77:S86">
    <cfRule type="cellIs" dxfId="345" priority="95" operator="greaterThan">
      <formula>0</formula>
    </cfRule>
    <cfRule type="cellIs" dxfId="344" priority="96" operator="equal">
      <formula>0</formula>
    </cfRule>
  </conditionalFormatting>
  <conditionalFormatting sqref="AB64:AB73">
    <cfRule type="cellIs" dxfId="343" priority="93" operator="greaterThan">
      <formula>0</formula>
    </cfRule>
    <cfRule type="cellIs" dxfId="342" priority="94" operator="equal">
      <formula>0</formula>
    </cfRule>
  </conditionalFormatting>
  <conditionalFormatting sqref="AB77:AB86">
    <cfRule type="cellIs" dxfId="341" priority="91" operator="greaterThan">
      <formula>0</formula>
    </cfRule>
    <cfRule type="cellIs" dxfId="340" priority="92" operator="equal">
      <formula>0</formula>
    </cfRule>
  </conditionalFormatting>
  <conditionalFormatting sqref="BJ63">
    <cfRule type="cellIs" dxfId="339" priority="89" operator="greaterThan">
      <formula>0</formula>
    </cfRule>
    <cfRule type="cellIs" dxfId="338" priority="90" operator="equal">
      <formula>0</formula>
    </cfRule>
  </conditionalFormatting>
  <conditionalFormatting sqref="BJ76">
    <cfRule type="cellIs" dxfId="337" priority="87" operator="greaterThan">
      <formula>0</formula>
    </cfRule>
    <cfRule type="cellIs" dxfId="336" priority="88" operator="equal">
      <formula>0</formula>
    </cfRule>
  </conditionalFormatting>
  <conditionalFormatting sqref="BJ64:BJ73">
    <cfRule type="cellIs" dxfId="335" priority="85" operator="greaterThan">
      <formula>0</formula>
    </cfRule>
    <cfRule type="cellIs" dxfId="334" priority="86" operator="equal">
      <formula>0</formula>
    </cfRule>
  </conditionalFormatting>
  <conditionalFormatting sqref="BJ77:BJ86">
    <cfRule type="cellIs" dxfId="333" priority="83" operator="greaterThan">
      <formula>0</formula>
    </cfRule>
    <cfRule type="cellIs" dxfId="332" priority="84" operator="equal">
      <formula>0</formula>
    </cfRule>
  </conditionalFormatting>
  <conditionalFormatting sqref="CB63">
    <cfRule type="cellIs" dxfId="331" priority="81" operator="greaterThan">
      <formula>0</formula>
    </cfRule>
    <cfRule type="cellIs" dxfId="330" priority="82" operator="equal">
      <formula>0</formula>
    </cfRule>
  </conditionalFormatting>
  <conditionalFormatting sqref="CB76">
    <cfRule type="cellIs" dxfId="329" priority="79" operator="greaterThan">
      <formula>0</formula>
    </cfRule>
    <cfRule type="cellIs" dxfId="328" priority="80" operator="equal">
      <formula>0</formula>
    </cfRule>
  </conditionalFormatting>
  <conditionalFormatting sqref="CB64:CB73">
    <cfRule type="cellIs" dxfId="327" priority="77" operator="greaterThan">
      <formula>0</formula>
    </cfRule>
    <cfRule type="cellIs" dxfId="326" priority="78" operator="equal">
      <formula>0</formula>
    </cfRule>
  </conditionalFormatting>
  <conditionalFormatting sqref="CB77:CB86">
    <cfRule type="cellIs" dxfId="325" priority="75" operator="greaterThan">
      <formula>0</formula>
    </cfRule>
    <cfRule type="cellIs" dxfId="324" priority="76" operator="equal">
      <formula>0</formula>
    </cfRule>
  </conditionalFormatting>
  <conditionalFormatting sqref="CT63">
    <cfRule type="cellIs" dxfId="323" priority="73" operator="greaterThan">
      <formula>0</formula>
    </cfRule>
    <cfRule type="cellIs" dxfId="322" priority="74" operator="equal">
      <formula>0</formula>
    </cfRule>
  </conditionalFormatting>
  <conditionalFormatting sqref="CT76">
    <cfRule type="cellIs" dxfId="321" priority="71" operator="greaterThan">
      <formula>0</formula>
    </cfRule>
    <cfRule type="cellIs" dxfId="320" priority="72" operator="equal">
      <formula>0</formula>
    </cfRule>
  </conditionalFormatting>
  <conditionalFormatting sqref="CT64:CT73">
    <cfRule type="cellIs" dxfId="319" priority="69" operator="greaterThan">
      <formula>0</formula>
    </cfRule>
    <cfRule type="cellIs" dxfId="318" priority="70" operator="equal">
      <formula>0</formula>
    </cfRule>
  </conditionalFormatting>
  <conditionalFormatting sqref="CT77:CT86">
    <cfRule type="cellIs" dxfId="317" priority="67" operator="greaterThan">
      <formula>0</formula>
    </cfRule>
    <cfRule type="cellIs" dxfId="316" priority="68" operator="equal">
      <formula>0</formula>
    </cfRule>
  </conditionalFormatting>
  <conditionalFormatting sqref="DL63">
    <cfRule type="cellIs" dxfId="315" priority="65" operator="greaterThan">
      <formula>0</formula>
    </cfRule>
    <cfRule type="cellIs" dxfId="314" priority="66" operator="equal">
      <formula>0</formula>
    </cfRule>
  </conditionalFormatting>
  <conditionalFormatting sqref="DL76">
    <cfRule type="cellIs" dxfId="313" priority="63" operator="greaterThan">
      <formula>0</formula>
    </cfRule>
    <cfRule type="cellIs" dxfId="312" priority="64" operator="equal">
      <formula>0</formula>
    </cfRule>
  </conditionalFormatting>
  <conditionalFormatting sqref="DL64:DL73">
    <cfRule type="cellIs" dxfId="311" priority="61" operator="greaterThan">
      <formula>0</formula>
    </cfRule>
    <cfRule type="cellIs" dxfId="310" priority="62" operator="equal">
      <formula>0</formula>
    </cfRule>
  </conditionalFormatting>
  <conditionalFormatting sqref="DL77:DL86">
    <cfRule type="cellIs" dxfId="309" priority="59" operator="greaterThan">
      <formula>0</formula>
    </cfRule>
    <cfRule type="cellIs" dxfId="308" priority="60" operator="equal">
      <formula>0</formula>
    </cfRule>
  </conditionalFormatting>
  <conditionalFormatting sqref="ED63">
    <cfRule type="cellIs" dxfId="307" priority="57" operator="greaterThan">
      <formula>0</formula>
    </cfRule>
    <cfRule type="cellIs" dxfId="306" priority="58" operator="equal">
      <formula>0</formula>
    </cfRule>
  </conditionalFormatting>
  <conditionalFormatting sqref="ED76">
    <cfRule type="cellIs" dxfId="305" priority="55" operator="greaterThan">
      <formula>0</formula>
    </cfRule>
    <cfRule type="cellIs" dxfId="304" priority="56" operator="equal">
      <formula>0</formula>
    </cfRule>
  </conditionalFormatting>
  <conditionalFormatting sqref="ED64:ED73">
    <cfRule type="cellIs" dxfId="303" priority="53" operator="greaterThan">
      <formula>0</formula>
    </cfRule>
    <cfRule type="cellIs" dxfId="302" priority="54" operator="equal">
      <formula>0</formula>
    </cfRule>
  </conditionalFormatting>
  <conditionalFormatting sqref="ED77:ED86">
    <cfRule type="cellIs" dxfId="301" priority="51" operator="greaterThan">
      <formula>0</formula>
    </cfRule>
    <cfRule type="cellIs" dxfId="300" priority="52" operator="equal">
      <formula>0</formula>
    </cfRule>
  </conditionalFormatting>
  <conditionalFormatting sqref="BA63">
    <cfRule type="cellIs" dxfId="299" priority="49" operator="greaterThan">
      <formula>0</formula>
    </cfRule>
    <cfRule type="cellIs" dxfId="298" priority="50" operator="equal">
      <formula>0</formula>
    </cfRule>
  </conditionalFormatting>
  <conditionalFormatting sqref="BA76">
    <cfRule type="cellIs" dxfId="297" priority="47" operator="greaterThan">
      <formula>0</formula>
    </cfRule>
    <cfRule type="cellIs" dxfId="296" priority="48" operator="equal">
      <formula>0</formula>
    </cfRule>
  </conditionalFormatting>
  <conditionalFormatting sqref="BA64:BA73">
    <cfRule type="cellIs" dxfId="295" priority="45" operator="greaterThan">
      <formula>0</formula>
    </cfRule>
    <cfRule type="cellIs" dxfId="294" priority="46" operator="equal">
      <formula>0</formula>
    </cfRule>
  </conditionalFormatting>
  <conditionalFormatting sqref="BA77:BA86">
    <cfRule type="cellIs" dxfId="293" priority="43" operator="greaterThan">
      <formula>0</formula>
    </cfRule>
    <cfRule type="cellIs" dxfId="292" priority="44" operator="equal">
      <formula>0</formula>
    </cfRule>
  </conditionalFormatting>
  <conditionalFormatting sqref="BS63">
    <cfRule type="cellIs" dxfId="291" priority="41" operator="greaterThan">
      <formula>0</formula>
    </cfRule>
    <cfRule type="cellIs" dxfId="290" priority="42" operator="equal">
      <formula>0</formula>
    </cfRule>
  </conditionalFormatting>
  <conditionalFormatting sqref="BS76">
    <cfRule type="cellIs" dxfId="289" priority="39" operator="greaterThan">
      <formula>0</formula>
    </cfRule>
    <cfRule type="cellIs" dxfId="288" priority="40" operator="equal">
      <formula>0</formula>
    </cfRule>
  </conditionalFormatting>
  <conditionalFormatting sqref="BS64:BS73">
    <cfRule type="cellIs" dxfId="287" priority="37" operator="greaterThan">
      <formula>0</formula>
    </cfRule>
    <cfRule type="cellIs" dxfId="286" priority="38" operator="equal">
      <formula>0</formula>
    </cfRule>
  </conditionalFormatting>
  <conditionalFormatting sqref="BS77:BS86">
    <cfRule type="cellIs" dxfId="285" priority="35" operator="greaterThan">
      <formula>0</formula>
    </cfRule>
    <cfRule type="cellIs" dxfId="284" priority="36" operator="equal">
      <formula>0</formula>
    </cfRule>
  </conditionalFormatting>
  <conditionalFormatting sqref="CK63">
    <cfRule type="cellIs" dxfId="283" priority="33" operator="greaterThan">
      <formula>0</formula>
    </cfRule>
    <cfRule type="cellIs" dxfId="282" priority="34" operator="equal">
      <formula>0</formula>
    </cfRule>
  </conditionalFormatting>
  <conditionalFormatting sqref="CK76">
    <cfRule type="cellIs" dxfId="281" priority="31" operator="greaterThan">
      <formula>0</formula>
    </cfRule>
    <cfRule type="cellIs" dxfId="280" priority="32" operator="equal">
      <formula>0</formula>
    </cfRule>
  </conditionalFormatting>
  <conditionalFormatting sqref="CK64:CK73">
    <cfRule type="cellIs" dxfId="279" priority="29" operator="greaterThan">
      <formula>0</formula>
    </cfRule>
    <cfRule type="cellIs" dxfId="278" priority="30" operator="equal">
      <formula>0</formula>
    </cfRule>
  </conditionalFormatting>
  <conditionalFormatting sqref="CK77:CK86">
    <cfRule type="cellIs" dxfId="277" priority="27" operator="greaterThan">
      <formula>0</formula>
    </cfRule>
    <cfRule type="cellIs" dxfId="276" priority="28" operator="equal">
      <formula>0</formula>
    </cfRule>
  </conditionalFormatting>
  <conditionalFormatting sqref="DC63">
    <cfRule type="cellIs" dxfId="275" priority="25" operator="greaterThan">
      <formula>0</formula>
    </cfRule>
    <cfRule type="cellIs" dxfId="274" priority="26" operator="equal">
      <formula>0</formula>
    </cfRule>
  </conditionalFormatting>
  <conditionalFormatting sqref="DC76">
    <cfRule type="cellIs" dxfId="273" priority="23" operator="greaterThan">
      <formula>0</formula>
    </cfRule>
    <cfRule type="cellIs" dxfId="272" priority="24" operator="equal">
      <formula>0</formula>
    </cfRule>
  </conditionalFormatting>
  <conditionalFormatting sqref="DC64:DC73">
    <cfRule type="cellIs" dxfId="271" priority="21" operator="greaterThan">
      <formula>0</formula>
    </cfRule>
    <cfRule type="cellIs" dxfId="270" priority="22" operator="equal">
      <formula>0</formula>
    </cfRule>
  </conditionalFormatting>
  <conditionalFormatting sqref="DC77:DC86">
    <cfRule type="cellIs" dxfId="269" priority="19" operator="greaterThan">
      <formula>0</formula>
    </cfRule>
    <cfRule type="cellIs" dxfId="268" priority="20" operator="equal">
      <formula>0</formula>
    </cfRule>
  </conditionalFormatting>
  <conditionalFormatting sqref="DU63">
    <cfRule type="cellIs" dxfId="267" priority="17" operator="greaterThan">
      <formula>0</formula>
    </cfRule>
    <cfRule type="cellIs" dxfId="266" priority="18" operator="equal">
      <formula>0</formula>
    </cfRule>
  </conditionalFormatting>
  <conditionalFormatting sqref="DU76">
    <cfRule type="cellIs" dxfId="265" priority="15" operator="greaterThan">
      <formula>0</formula>
    </cfRule>
    <cfRule type="cellIs" dxfId="264" priority="16" operator="equal">
      <formula>0</formula>
    </cfRule>
  </conditionalFormatting>
  <conditionalFormatting sqref="DU64:DU73">
    <cfRule type="cellIs" dxfId="263" priority="13" operator="greaterThan">
      <formula>0</formula>
    </cfRule>
    <cfRule type="cellIs" dxfId="262" priority="14" operator="equal">
      <formula>0</formula>
    </cfRule>
  </conditionalFormatting>
  <conditionalFormatting sqref="DU77:DU86">
    <cfRule type="cellIs" dxfId="261" priority="11" operator="greaterThan">
      <formula>0</formula>
    </cfRule>
    <cfRule type="cellIs" dxfId="260" priority="12" operator="equal">
      <formula>0</formula>
    </cfRule>
  </conditionalFormatting>
  <conditionalFormatting sqref="AK64:AK73">
    <cfRule type="cellIs" dxfId="259" priority="9" operator="greaterThan">
      <formula>0</formula>
    </cfRule>
    <cfRule type="cellIs" dxfId="258" priority="10" operator="equal">
      <formula>0</formula>
    </cfRule>
  </conditionalFormatting>
  <conditionalFormatting sqref="AK77:AK86">
    <cfRule type="cellIs" dxfId="257" priority="7" operator="greaterThan">
      <formula>0</formula>
    </cfRule>
    <cfRule type="cellIs" dxfId="256" priority="8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354DA-A872-483D-BF7D-69308276F93C}">
  <sheetPr codeName="Sheet5"/>
  <dimension ref="A1:EV119"/>
  <sheetViews>
    <sheetView tabSelected="1" topLeftCell="DB21" zoomScale="70" zoomScaleNormal="70" workbookViewId="0">
      <selection activeCell="ES41" sqref="ES41"/>
    </sheetView>
  </sheetViews>
  <sheetFormatPr baseColWidth="10" defaultColWidth="11.42578125" defaultRowHeight="15"/>
  <cols>
    <col min="1" max="1" width="6.28515625" customWidth="1"/>
    <col min="2" max="2" width="3.85546875" customWidth="1"/>
    <col min="3" max="3" width="4.7109375" customWidth="1"/>
    <col min="4" max="4" width="6" bestFit="1" customWidth="1"/>
    <col min="5" max="5" width="9.7109375" customWidth="1"/>
    <col min="6" max="6" width="7.28515625" bestFit="1" customWidth="1"/>
    <col min="7" max="7" width="6.7109375" bestFit="1" customWidth="1"/>
    <col min="8" max="8" width="21.28515625" customWidth="1"/>
    <col min="9" max="9" width="15" customWidth="1"/>
    <col min="10" max="10" width="9.140625" customWidth="1"/>
    <col min="11" max="11" width="7.7109375" customWidth="1"/>
    <col min="14" max="14" width="6.5703125" customWidth="1"/>
    <col min="15" max="15" width="7" customWidth="1"/>
    <col min="16" max="16" width="18" customWidth="1"/>
    <col min="17" max="17" width="11" customWidth="1"/>
    <col min="18" max="18" width="8.28515625" bestFit="1" customWidth="1"/>
    <col min="19" max="19" width="8.42578125" customWidth="1"/>
    <col min="20" max="20" width="4.7109375" customWidth="1"/>
    <col min="21" max="21" width="6.28515625" customWidth="1"/>
    <col min="22" max="22" width="6" bestFit="1" customWidth="1"/>
    <col min="23" max="23" width="7.28515625" bestFit="1" customWidth="1"/>
    <col min="24" max="24" width="6.7109375" bestFit="1" customWidth="1"/>
    <col min="25" max="25" width="18.140625" bestFit="1" customWidth="1"/>
    <col min="26" max="26" width="10.7109375" bestFit="1" customWidth="1"/>
    <col min="27" max="27" width="10.5703125" bestFit="1" customWidth="1"/>
    <col min="28" max="28" width="2.7109375" customWidth="1"/>
    <col min="29" max="29" width="7.28515625" customWidth="1"/>
    <col min="30" max="30" width="6.7109375" customWidth="1"/>
    <col min="31" max="31" width="6" bestFit="1" customWidth="1"/>
    <col min="32" max="32" width="7.28515625" bestFit="1" customWidth="1"/>
    <col min="33" max="33" width="6.7109375" bestFit="1" customWidth="1"/>
    <col min="34" max="34" width="18.140625" bestFit="1" customWidth="1"/>
    <col min="35" max="35" width="11.28515625" bestFit="1" customWidth="1"/>
    <col min="36" max="36" width="6.5703125" customWidth="1"/>
    <col min="37" max="37" width="2.7109375" customWidth="1"/>
    <col min="38" max="38" width="4.7109375" customWidth="1"/>
    <col min="39" max="39" width="6.7109375" customWidth="1"/>
    <col min="40" max="40" width="6" bestFit="1" customWidth="1"/>
    <col min="41" max="41" width="7.28515625" bestFit="1" customWidth="1"/>
    <col min="42" max="42" width="6.7109375" bestFit="1" customWidth="1"/>
    <col min="43" max="43" width="18.140625" bestFit="1" customWidth="1"/>
    <col min="44" max="44" width="15.140625" customWidth="1"/>
    <col min="45" max="46" width="6.7109375" customWidth="1"/>
    <col min="47" max="47" width="6" bestFit="1" customWidth="1"/>
    <col min="48" max="48" width="7.28515625" bestFit="1" customWidth="1"/>
    <col min="49" max="49" width="6.7109375" bestFit="1" customWidth="1"/>
    <col min="50" max="50" width="18.140625" bestFit="1" customWidth="1"/>
    <col min="51" max="51" width="13.140625" customWidth="1"/>
    <col min="52" max="52" width="6.28515625" customWidth="1"/>
    <col min="53" max="53" width="2.7109375" customWidth="1"/>
    <col min="54" max="54" width="4.7109375" customWidth="1"/>
    <col min="55" max="55" width="5.42578125" customWidth="1"/>
    <col min="56" max="56" width="6" bestFit="1" customWidth="1"/>
    <col min="57" max="57" width="7.28515625" bestFit="1" customWidth="1"/>
    <col min="58" max="58" width="6.7109375" bestFit="1" customWidth="1"/>
    <col min="59" max="59" width="18.140625" bestFit="1" customWidth="1"/>
    <col min="60" max="60" width="9.5703125" bestFit="1" customWidth="1"/>
    <col min="61" max="61" width="6.42578125" customWidth="1"/>
    <col min="62" max="62" width="2.7109375" customWidth="1"/>
    <col min="63" max="63" width="4.7109375" customWidth="1"/>
    <col min="64" max="64" width="5.42578125" customWidth="1"/>
    <col min="65" max="65" width="6" bestFit="1" customWidth="1"/>
    <col min="66" max="66" width="7.28515625" bestFit="1" customWidth="1"/>
    <col min="67" max="67" width="6.7109375" bestFit="1" customWidth="1"/>
    <col min="68" max="68" width="20.28515625" bestFit="1" customWidth="1"/>
    <col min="69" max="69" width="15.85546875" customWidth="1"/>
    <col min="70" max="70" width="6.5703125" customWidth="1"/>
    <col min="71" max="71" width="2.7109375" customWidth="1"/>
    <col min="72" max="72" width="4.7109375" customWidth="1"/>
    <col min="73" max="73" width="5.7109375" customWidth="1"/>
    <col min="74" max="74" width="6" bestFit="1" customWidth="1"/>
    <col min="75" max="75" width="7.28515625" bestFit="1" customWidth="1"/>
    <col min="76" max="76" width="6.7109375" bestFit="1" customWidth="1"/>
    <col min="77" max="77" width="18.140625" bestFit="1" customWidth="1"/>
    <col min="78" max="78" width="9.5703125" bestFit="1" customWidth="1"/>
    <col min="79" max="79" width="6.7109375" customWidth="1"/>
    <col min="80" max="80" width="2.7109375" customWidth="1"/>
    <col min="81" max="81" width="4.7109375" customWidth="1"/>
    <col min="82" max="82" width="5.42578125" customWidth="1"/>
    <col min="83" max="83" width="6" bestFit="1" customWidth="1"/>
    <col min="84" max="84" width="7.28515625" bestFit="1" customWidth="1"/>
    <col min="85" max="85" width="6.7109375" bestFit="1" customWidth="1"/>
    <col min="86" max="86" width="20.28515625" bestFit="1" customWidth="1"/>
    <col min="87" max="87" width="10.7109375" bestFit="1" customWidth="1"/>
    <col min="88" max="88" width="7.42578125" customWidth="1"/>
    <col min="89" max="89" width="2.7109375" customWidth="1"/>
    <col min="90" max="90" width="4.7109375" customWidth="1"/>
    <col min="91" max="91" width="6.42578125" customWidth="1"/>
    <col min="92" max="92" width="6" bestFit="1" customWidth="1"/>
    <col min="93" max="93" width="7.28515625" bestFit="1" customWidth="1"/>
    <col min="94" max="94" width="6.7109375" bestFit="1" customWidth="1"/>
    <col min="95" max="95" width="18.140625" bestFit="1" customWidth="1"/>
    <col min="96" max="96" width="9.5703125" bestFit="1" customWidth="1"/>
    <col min="97" max="97" width="7.140625" customWidth="1"/>
    <col min="98" max="98" width="2.7109375" customWidth="1"/>
    <col min="99" max="99" width="4.7109375" customWidth="1"/>
    <col min="100" max="100" width="5.42578125" customWidth="1"/>
    <col min="101" max="101" width="6" bestFit="1" customWidth="1"/>
    <col min="102" max="102" width="7.28515625" bestFit="1" customWidth="1"/>
    <col min="103" max="103" width="6.7109375" bestFit="1" customWidth="1"/>
    <col min="104" max="104" width="20.28515625" bestFit="1" customWidth="1"/>
    <col min="105" max="105" width="10.7109375" bestFit="1" customWidth="1"/>
    <col min="106" max="106" width="6" customWidth="1"/>
    <col min="107" max="107" width="3.28515625" customWidth="1"/>
    <col min="108" max="108" width="4.7109375" customWidth="1"/>
    <col min="109" max="109" width="6.42578125" customWidth="1"/>
    <col min="110" max="110" width="6" bestFit="1" customWidth="1"/>
    <col min="111" max="111" width="7.28515625" bestFit="1" customWidth="1"/>
    <col min="112" max="112" width="6.7109375" bestFit="1" customWidth="1"/>
    <col min="113" max="113" width="18.140625" bestFit="1" customWidth="1"/>
    <col min="114" max="114" width="9.5703125" bestFit="1" customWidth="1"/>
    <col min="115" max="115" width="6.7109375" customWidth="1"/>
    <col min="116" max="116" width="2.7109375" customWidth="1"/>
    <col min="117" max="117" width="4.7109375" customWidth="1"/>
    <col min="118" max="118" width="5.42578125" customWidth="1"/>
    <col min="119" max="119" width="6" bestFit="1" customWidth="1"/>
    <col min="120" max="120" width="7.28515625" bestFit="1" customWidth="1"/>
    <col min="121" max="121" width="6.7109375" bestFit="1" customWidth="1"/>
    <col min="122" max="122" width="20.28515625" bestFit="1" customWidth="1"/>
    <col min="123" max="123" width="10.7109375" bestFit="1" customWidth="1"/>
    <col min="124" max="124" width="6" customWidth="1"/>
    <col min="125" max="125" width="3.42578125" customWidth="1"/>
    <col min="126" max="126" width="4.7109375" customWidth="1"/>
    <col min="127" max="127" width="6.42578125" customWidth="1"/>
    <col min="128" max="128" width="6" bestFit="1" customWidth="1"/>
    <col min="129" max="129" width="7.28515625" bestFit="1" customWidth="1"/>
    <col min="130" max="130" width="6.7109375" bestFit="1" customWidth="1"/>
    <col min="131" max="131" width="18.140625" bestFit="1" customWidth="1"/>
    <col min="132" max="132" width="11.5703125" customWidth="1"/>
    <col min="133" max="133" width="6.42578125" customWidth="1"/>
    <col min="134" max="134" width="2.7109375" customWidth="1"/>
    <col min="135" max="135" width="4.7109375" customWidth="1"/>
    <col min="136" max="136" width="5.42578125" customWidth="1"/>
    <col min="137" max="137" width="6" bestFit="1" customWidth="1"/>
    <col min="138" max="138" width="7.28515625" bestFit="1" customWidth="1"/>
    <col min="139" max="139" width="6.7109375" bestFit="1" customWidth="1"/>
    <col min="140" max="140" width="20.28515625" bestFit="1" customWidth="1"/>
    <col min="141" max="141" width="10.7109375" bestFit="1" customWidth="1"/>
    <col min="142" max="142" width="6.5703125" customWidth="1"/>
    <col min="143" max="143" width="3.28515625" customWidth="1"/>
    <col min="144" max="144" width="4.7109375" customWidth="1"/>
    <col min="145" max="146" width="6" bestFit="1" customWidth="1"/>
    <col min="147" max="147" width="7.28515625" bestFit="1" customWidth="1"/>
    <col min="148" max="148" width="6.7109375" bestFit="1" customWidth="1"/>
    <col min="149" max="149" width="30.85546875" customWidth="1"/>
    <col min="150" max="150" width="16.140625" customWidth="1"/>
    <col min="151" max="151" width="7" customWidth="1"/>
    <col min="152" max="152" width="2.42578125" customWidth="1"/>
    <col min="153" max="153" width="7.140625" customWidth="1"/>
    <col min="159" max="159" width="13.5703125" customWidth="1"/>
  </cols>
  <sheetData>
    <row r="1" spans="38:52"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</row>
    <row r="2" spans="38:52">
      <c r="AL2" s="113"/>
      <c r="AM2" s="113"/>
      <c r="AN2" s="113"/>
      <c r="AO2" s="113"/>
      <c r="AP2" s="113"/>
      <c r="AQ2" s="113"/>
      <c r="AR2" s="113"/>
      <c r="AS2" s="113"/>
      <c r="AT2" s="113"/>
      <c r="AU2" s="113"/>
      <c r="AV2" s="113"/>
      <c r="AW2" s="113"/>
      <c r="AX2" s="113"/>
      <c r="AY2" s="113"/>
      <c r="AZ2" s="113"/>
    </row>
    <row r="3" spans="38:52">
      <c r="AL3" s="113"/>
      <c r="AM3" s="113"/>
      <c r="AN3" s="113"/>
      <c r="AO3" s="113"/>
      <c r="AP3" s="113"/>
      <c r="AQ3" s="113"/>
      <c r="AR3" s="113"/>
      <c r="AS3" s="113"/>
      <c r="AT3" s="113"/>
      <c r="AU3" s="113"/>
      <c r="AV3" s="113"/>
      <c r="AW3" s="113"/>
      <c r="AX3" s="113"/>
      <c r="AY3" s="113"/>
      <c r="AZ3" s="113"/>
    </row>
    <row r="4" spans="38:52"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13"/>
    </row>
    <row r="5" spans="38:52"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  <c r="AW5" s="113"/>
      <c r="AX5" s="113"/>
      <c r="AY5" s="113"/>
      <c r="AZ5" s="113"/>
    </row>
    <row r="6" spans="38:52">
      <c r="AL6" s="113"/>
      <c r="AM6" s="113"/>
      <c r="AN6" s="113"/>
      <c r="AO6" s="113"/>
      <c r="AP6" s="113"/>
      <c r="AQ6" s="113"/>
      <c r="AR6" s="113"/>
      <c r="AS6" s="113"/>
      <c r="AT6" s="113"/>
      <c r="AU6" s="113"/>
      <c r="AV6" s="113"/>
      <c r="AW6" s="113"/>
      <c r="AX6" s="113"/>
      <c r="AY6" s="113"/>
      <c r="AZ6" s="113"/>
    </row>
    <row r="7" spans="38:52">
      <c r="AL7" s="113"/>
      <c r="AM7" s="113"/>
      <c r="AN7" s="113"/>
      <c r="AO7" s="113"/>
      <c r="AP7" s="113"/>
      <c r="AQ7" s="113"/>
      <c r="AR7" s="113"/>
      <c r="AS7" s="113"/>
      <c r="AT7" s="113"/>
      <c r="AU7" s="113"/>
      <c r="AV7" s="113"/>
      <c r="AW7" s="113"/>
      <c r="AX7" s="113"/>
      <c r="AY7" s="113"/>
      <c r="AZ7" s="113"/>
    </row>
    <row r="8" spans="38:52">
      <c r="AL8" s="113"/>
      <c r="AM8" s="113"/>
      <c r="AN8" s="113"/>
      <c r="AO8" s="113"/>
      <c r="AP8" s="113"/>
      <c r="AQ8" s="113"/>
      <c r="AR8" s="113"/>
      <c r="AS8" s="113"/>
      <c r="AT8" s="113"/>
      <c r="AU8" s="113"/>
      <c r="AV8" s="113"/>
      <c r="AW8" s="113"/>
      <c r="AX8" s="113"/>
      <c r="AY8" s="113"/>
      <c r="AZ8" s="113"/>
    </row>
    <row r="9" spans="38:52">
      <c r="AL9" s="113"/>
      <c r="AM9" s="113"/>
      <c r="AN9" s="113"/>
      <c r="AO9" s="113"/>
      <c r="AP9" s="113"/>
      <c r="AQ9" s="113"/>
      <c r="AR9" s="113"/>
      <c r="AS9" s="113"/>
      <c r="AT9" s="113"/>
      <c r="AU9" s="113"/>
      <c r="AV9" s="113"/>
      <c r="AW9" s="113"/>
      <c r="AX9" s="113"/>
      <c r="AY9" s="113"/>
      <c r="AZ9" s="113"/>
    </row>
    <row r="10" spans="38:52">
      <c r="AL10" s="113"/>
      <c r="AM10" s="113"/>
      <c r="AN10" s="113"/>
      <c r="AO10" s="113"/>
      <c r="AP10" s="113"/>
      <c r="AQ10" s="113"/>
      <c r="AR10" s="113"/>
      <c r="AS10" s="113"/>
      <c r="AT10" s="113"/>
      <c r="AU10" s="113"/>
      <c r="AV10" s="113"/>
      <c r="AW10" s="113"/>
      <c r="AX10" s="113"/>
      <c r="AY10" s="113"/>
      <c r="AZ10" s="113"/>
    </row>
    <row r="11" spans="38:52">
      <c r="AL11" s="113"/>
      <c r="AM11" s="113"/>
      <c r="AN11" s="113"/>
      <c r="AO11" s="113"/>
      <c r="AP11" s="113"/>
      <c r="AQ11" s="113"/>
      <c r="AR11" s="113"/>
      <c r="AS11" s="113"/>
      <c r="AT11" s="113"/>
      <c r="AU11" s="113"/>
      <c r="AV11" s="113"/>
      <c r="AW11" s="113"/>
      <c r="AX11" s="113"/>
      <c r="AY11" s="113"/>
      <c r="AZ11" s="113"/>
    </row>
    <row r="12" spans="38:52">
      <c r="AL12" s="113"/>
      <c r="AM12" s="113"/>
      <c r="AN12" s="113"/>
      <c r="AO12" s="113"/>
      <c r="AP12" s="113"/>
      <c r="AQ12" s="113"/>
      <c r="AR12" s="113"/>
      <c r="AS12" s="113"/>
      <c r="AT12" s="113"/>
      <c r="AU12" s="113"/>
      <c r="AV12" s="113"/>
      <c r="AW12" s="113"/>
      <c r="AX12" s="113"/>
      <c r="AY12" s="113"/>
      <c r="AZ12" s="113"/>
    </row>
    <row r="13" spans="38:52">
      <c r="AL13" s="113"/>
      <c r="AM13" s="113"/>
      <c r="AN13" s="113"/>
      <c r="AO13" s="113"/>
      <c r="AP13" s="113"/>
      <c r="AQ13" s="113"/>
      <c r="AR13" s="113"/>
      <c r="AS13" s="113"/>
      <c r="AT13" s="113"/>
      <c r="AU13" s="113"/>
      <c r="AV13" s="113"/>
      <c r="AW13" s="113"/>
      <c r="AX13" s="113"/>
      <c r="AY13" s="113"/>
      <c r="AZ13" s="113"/>
    </row>
    <row r="14" spans="38:52">
      <c r="AL14" s="113"/>
      <c r="AM14" s="113"/>
      <c r="AN14" s="113"/>
      <c r="AO14" s="113"/>
      <c r="AP14" s="113"/>
      <c r="AQ14" s="113"/>
      <c r="AR14" s="113"/>
      <c r="AS14" s="113"/>
      <c r="AT14" s="113"/>
      <c r="AU14" s="113"/>
      <c r="AV14" s="113"/>
      <c r="AW14" s="113"/>
      <c r="AX14" s="113"/>
      <c r="AY14" s="113"/>
      <c r="AZ14" s="113"/>
    </row>
    <row r="15" spans="38:52">
      <c r="AL15" s="113"/>
      <c r="AM15" s="113"/>
      <c r="AN15" s="113"/>
      <c r="AO15" s="113"/>
      <c r="AP15" s="113"/>
      <c r="AQ15" s="113"/>
      <c r="AR15" s="113"/>
      <c r="AS15" s="113"/>
      <c r="AT15" s="113"/>
      <c r="AU15" s="113"/>
      <c r="AV15" s="113"/>
      <c r="AW15" s="113"/>
      <c r="AX15" s="113"/>
      <c r="AY15" s="113"/>
      <c r="AZ15" s="113"/>
    </row>
    <row r="16" spans="38:52">
      <c r="AL16" s="113"/>
      <c r="AM16" s="113"/>
      <c r="AN16" s="113"/>
      <c r="AO16" s="113"/>
      <c r="AP16" s="113"/>
      <c r="AQ16" s="113"/>
      <c r="AR16" s="113"/>
      <c r="AS16" s="113"/>
      <c r="AT16" s="113"/>
      <c r="AU16" s="113"/>
      <c r="AV16" s="113"/>
      <c r="AW16" s="113"/>
      <c r="AX16" s="113"/>
      <c r="AY16" s="113"/>
      <c r="AZ16" s="113"/>
    </row>
    <row r="17" spans="1:152">
      <c r="AL17" s="113"/>
      <c r="AM17" s="113"/>
      <c r="AN17" s="113"/>
      <c r="AO17" s="113"/>
      <c r="AP17" s="113"/>
      <c r="AQ17" s="113"/>
      <c r="AR17" s="113"/>
      <c r="AS17" s="113"/>
      <c r="AT17" s="113"/>
      <c r="AU17" s="113"/>
      <c r="AV17" s="113"/>
      <c r="AW17" s="113"/>
      <c r="AX17" s="113"/>
      <c r="AY17" s="113"/>
      <c r="AZ17" s="113"/>
    </row>
    <row r="18" spans="1:152" ht="15" customHeight="1">
      <c r="AL18" s="113"/>
      <c r="AM18" s="113"/>
      <c r="AN18" s="113"/>
      <c r="AO18" s="113"/>
      <c r="AP18" s="113"/>
      <c r="AQ18" s="113"/>
      <c r="AR18" s="113"/>
      <c r="AS18" s="113"/>
      <c r="AT18" s="113"/>
      <c r="AU18" s="113"/>
      <c r="AV18" s="113"/>
      <c r="AW18" s="113"/>
      <c r="AX18" s="113"/>
      <c r="AY18" s="113"/>
      <c r="AZ18" s="113"/>
    </row>
    <row r="19" spans="1:152">
      <c r="AL19" s="113"/>
      <c r="AM19" s="113"/>
      <c r="AN19" s="113"/>
      <c r="AO19" s="113"/>
      <c r="AP19" s="113"/>
      <c r="AQ19" s="113"/>
      <c r="AR19" s="113"/>
      <c r="AS19" s="113"/>
      <c r="AT19" s="113"/>
      <c r="AU19" s="113"/>
      <c r="AV19" s="113"/>
      <c r="AW19" s="113"/>
      <c r="AX19" s="113"/>
      <c r="AY19" s="113"/>
      <c r="AZ19" s="113"/>
    </row>
    <row r="20" spans="1:152" ht="15.75" thickBot="1">
      <c r="T20" s="213"/>
      <c r="U20" s="213"/>
      <c r="V20" s="213"/>
      <c r="W20" s="213"/>
      <c r="X20" s="213"/>
      <c r="Y20" s="213"/>
      <c r="Z20" s="213"/>
      <c r="AA20" s="213"/>
      <c r="AB20" s="213"/>
      <c r="AC20" s="213"/>
      <c r="AD20" s="213"/>
      <c r="AE20" s="213"/>
      <c r="AF20" s="213"/>
      <c r="AG20" s="213"/>
      <c r="AH20" s="213"/>
      <c r="AI20" s="213"/>
      <c r="AJ20" s="213"/>
      <c r="AK20" s="213"/>
      <c r="AL20" s="217"/>
      <c r="AM20" s="217"/>
      <c r="AN20" s="217"/>
      <c r="AO20" s="217"/>
      <c r="AP20" s="217"/>
      <c r="AQ20" s="217"/>
      <c r="AR20" s="217"/>
      <c r="AS20" s="217"/>
      <c r="AT20" s="217"/>
      <c r="AU20" s="217"/>
      <c r="AV20" s="217"/>
      <c r="AW20" s="217"/>
      <c r="AX20" s="217"/>
      <c r="AY20" s="217"/>
      <c r="AZ20" s="217"/>
      <c r="BA20" s="213"/>
      <c r="BB20" s="213"/>
      <c r="BC20" s="213"/>
      <c r="BD20" s="213"/>
      <c r="BE20" s="213"/>
      <c r="BF20" s="213"/>
      <c r="BG20" s="213"/>
      <c r="BH20" s="213"/>
      <c r="BI20" s="213"/>
      <c r="BJ20" s="213"/>
      <c r="BK20" s="213"/>
      <c r="BL20" s="213"/>
      <c r="BM20" s="213"/>
      <c r="BN20" s="213"/>
      <c r="BO20" s="213"/>
      <c r="BP20" s="213"/>
      <c r="BQ20" s="213"/>
      <c r="BR20" s="213"/>
      <c r="BS20" s="213"/>
      <c r="BT20" s="213"/>
      <c r="BU20" s="213"/>
      <c r="BV20" s="213"/>
      <c r="BW20" s="213"/>
      <c r="BX20" s="213"/>
      <c r="BY20" s="213"/>
      <c r="BZ20" s="213"/>
      <c r="CA20" s="213"/>
      <c r="CB20" s="213"/>
      <c r="CC20" s="213"/>
      <c r="CD20" s="213"/>
      <c r="CE20" s="213"/>
      <c r="CF20" s="213"/>
      <c r="CG20" s="213"/>
      <c r="CH20" s="213"/>
      <c r="CI20" s="213"/>
      <c r="CJ20" s="213"/>
      <c r="CK20" s="213"/>
      <c r="CL20" s="213"/>
      <c r="CM20" s="213"/>
      <c r="CN20" s="213"/>
      <c r="CO20" s="213"/>
      <c r="CP20" s="213"/>
      <c r="CQ20" s="213"/>
      <c r="CR20" s="213"/>
      <c r="CS20" s="213"/>
      <c r="CT20" s="213"/>
      <c r="CU20" s="213"/>
      <c r="CV20" s="213"/>
      <c r="CW20" s="213"/>
      <c r="CX20" s="213"/>
      <c r="CY20" s="213"/>
      <c r="CZ20" s="213"/>
      <c r="DA20" s="213"/>
      <c r="DB20" s="213"/>
      <c r="DC20" s="213"/>
      <c r="DD20" s="213"/>
      <c r="DE20" s="213"/>
      <c r="DF20" s="213"/>
      <c r="DG20" s="213"/>
      <c r="DH20" s="213"/>
      <c r="DI20" s="213"/>
      <c r="DJ20" s="213"/>
      <c r="DK20" s="213"/>
      <c r="DL20" s="213"/>
      <c r="DM20" s="213"/>
      <c r="DN20" s="213"/>
      <c r="DO20" s="213"/>
      <c r="DP20" s="213"/>
      <c r="DQ20" s="213"/>
      <c r="DR20" s="213"/>
      <c r="DS20" s="213"/>
      <c r="DT20" s="213"/>
      <c r="DU20" s="213"/>
      <c r="DV20" s="213"/>
      <c r="DW20" s="213"/>
      <c r="DX20" s="213"/>
      <c r="DY20" s="213"/>
      <c r="DZ20" s="213"/>
      <c r="EA20" s="213"/>
      <c r="EB20" s="213"/>
      <c r="EC20" s="213"/>
      <c r="ED20" s="213"/>
      <c r="EE20" s="213"/>
      <c r="EF20" s="213"/>
      <c r="EG20" s="213"/>
      <c r="EH20" s="213"/>
      <c r="EI20" s="213"/>
      <c r="EJ20" s="213"/>
      <c r="EK20" s="213"/>
      <c r="EL20" s="213"/>
      <c r="EM20" s="213"/>
      <c r="EN20" s="213"/>
      <c r="EO20" s="213"/>
      <c r="EP20" s="213"/>
      <c r="EQ20" s="213"/>
      <c r="ER20" s="213"/>
      <c r="ES20" s="213"/>
      <c r="ET20" s="213"/>
      <c r="EU20" s="213"/>
      <c r="EV20" s="213"/>
    </row>
    <row r="21" spans="1:152" ht="16.5" thickTop="1" thickBot="1">
      <c r="A21" s="248"/>
      <c r="B21" s="96"/>
      <c r="C21" s="96"/>
      <c r="D21" s="96"/>
      <c r="E21" s="96"/>
      <c r="F21" s="96"/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4"/>
      <c r="T21" s="98"/>
      <c r="U21" s="98"/>
      <c r="V21" s="98"/>
      <c r="W21" s="98"/>
      <c r="X21" s="98"/>
      <c r="Y21" s="98"/>
      <c r="Z21" s="98"/>
      <c r="AA21" s="98"/>
      <c r="AB21" s="98"/>
      <c r="AC21" s="98"/>
      <c r="AD21" s="98"/>
      <c r="AE21" s="98"/>
      <c r="AF21" s="98"/>
      <c r="AG21" s="98"/>
      <c r="AH21" s="98"/>
      <c r="AI21" s="98"/>
      <c r="AJ21" s="98"/>
      <c r="AK21" s="98"/>
      <c r="AL21" s="98"/>
      <c r="AM21" s="98"/>
      <c r="AN21" s="98"/>
      <c r="AO21" s="98"/>
      <c r="AP21" s="98"/>
      <c r="AQ21" s="98"/>
      <c r="AR21" s="98"/>
      <c r="AS21" s="98"/>
      <c r="AT21" s="98"/>
      <c r="AU21" s="98"/>
      <c r="AV21" s="98"/>
      <c r="AW21" s="98"/>
      <c r="AX21" s="98"/>
      <c r="AY21" s="98"/>
      <c r="AZ21" s="98"/>
      <c r="BA21" s="98"/>
      <c r="BB21" s="98"/>
      <c r="BC21" s="98"/>
      <c r="BD21" s="98"/>
      <c r="BE21" s="98"/>
      <c r="BF21" s="98"/>
      <c r="BG21" s="98"/>
      <c r="BH21" s="98"/>
      <c r="BI21" s="98"/>
      <c r="BJ21" s="98"/>
      <c r="BK21" s="98"/>
      <c r="BL21" s="98"/>
      <c r="BM21" s="98"/>
      <c r="BN21" s="98"/>
      <c r="BO21" s="98"/>
      <c r="BP21" s="98"/>
      <c r="BQ21" s="98"/>
      <c r="BR21" s="98"/>
      <c r="BS21" s="98"/>
      <c r="BT21" s="98"/>
      <c r="BU21" s="98"/>
      <c r="BV21" s="98"/>
      <c r="BW21" s="98"/>
      <c r="BX21" s="98"/>
      <c r="BY21" s="98"/>
      <c r="BZ21" s="98"/>
      <c r="CA21" s="98"/>
      <c r="CB21" s="98"/>
      <c r="CC21" s="98"/>
      <c r="CD21" s="98"/>
      <c r="CE21" s="98"/>
      <c r="CF21" s="98"/>
      <c r="CG21" s="98"/>
      <c r="CH21" s="98"/>
      <c r="CI21" s="98"/>
      <c r="CJ21" s="98"/>
      <c r="CK21" s="98"/>
      <c r="CL21" s="98"/>
      <c r="CM21" s="98"/>
      <c r="CN21" s="98"/>
      <c r="CO21" s="98"/>
      <c r="CP21" s="98"/>
      <c r="CQ21" s="98"/>
      <c r="CR21" s="98"/>
      <c r="CS21" s="98"/>
      <c r="CT21" s="98"/>
      <c r="CU21" s="98"/>
      <c r="CV21" s="98"/>
      <c r="CW21" s="98"/>
      <c r="CX21" s="98"/>
      <c r="CY21" s="98"/>
      <c r="CZ21" s="98"/>
      <c r="DA21" s="98"/>
      <c r="DB21" s="98"/>
      <c r="DC21" s="98"/>
      <c r="DD21" s="98"/>
      <c r="DE21" s="98"/>
      <c r="DF21" s="98"/>
      <c r="DG21" s="98"/>
      <c r="DH21" s="98"/>
      <c r="DI21" s="98"/>
      <c r="DJ21" s="98"/>
      <c r="DK21" s="98"/>
      <c r="DL21" s="98"/>
      <c r="DM21" s="98"/>
      <c r="DN21" s="98"/>
      <c r="DO21" s="98"/>
      <c r="DP21" s="98"/>
      <c r="DQ21" s="98"/>
      <c r="DR21" s="98"/>
      <c r="DS21" s="98"/>
      <c r="DT21" s="98"/>
      <c r="DU21" s="98"/>
      <c r="DV21" s="98"/>
      <c r="DW21" s="98"/>
      <c r="DX21" s="98"/>
      <c r="DY21" s="98"/>
      <c r="DZ21" s="98"/>
      <c r="EA21" s="98"/>
      <c r="EB21" s="98"/>
      <c r="EC21" s="98"/>
      <c r="ED21" s="98"/>
      <c r="EE21" s="98"/>
      <c r="EF21" s="98"/>
      <c r="EG21" s="98"/>
      <c r="EH21" s="98"/>
      <c r="EI21" s="98"/>
      <c r="EJ21" s="98"/>
      <c r="EK21" s="98"/>
      <c r="EL21" s="98"/>
      <c r="EM21" s="93"/>
      <c r="EN21" s="98"/>
      <c r="EO21" s="98"/>
      <c r="EP21" s="98"/>
      <c r="EQ21" s="98"/>
      <c r="ER21" s="98"/>
      <c r="ES21" s="98"/>
      <c r="ET21" s="98"/>
      <c r="EU21" s="98"/>
      <c r="EV21" s="98"/>
    </row>
    <row r="22" spans="1:152" ht="15.75" thickBot="1">
      <c r="A22" s="249"/>
      <c r="B22" s="98"/>
      <c r="C22" s="98"/>
      <c r="D22" s="324" t="s">
        <v>228</v>
      </c>
      <c r="E22" s="325"/>
      <c r="F22" s="325"/>
      <c r="G22" s="326"/>
      <c r="H22" s="20">
        <v>1</v>
      </c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5"/>
      <c r="T22" s="98"/>
      <c r="U22" s="324" t="s">
        <v>228</v>
      </c>
      <c r="V22" s="325"/>
      <c r="W22" s="325"/>
      <c r="X22" s="326"/>
      <c r="Y22" s="20">
        <v>2</v>
      </c>
      <c r="Z22" s="98"/>
      <c r="AA22" s="98"/>
      <c r="AB22" s="98"/>
      <c r="AC22" s="98"/>
      <c r="AD22" s="98"/>
      <c r="AE22" s="98"/>
      <c r="AF22" s="98"/>
      <c r="AG22" s="98"/>
      <c r="AH22" s="98"/>
      <c r="AI22" s="98"/>
      <c r="AJ22" s="98"/>
      <c r="AK22" s="98"/>
      <c r="AL22" s="98"/>
      <c r="AM22" s="324" t="s">
        <v>228</v>
      </c>
      <c r="AN22" s="325"/>
      <c r="AO22" s="325"/>
      <c r="AP22" s="326"/>
      <c r="AQ22" s="20">
        <v>4</v>
      </c>
      <c r="AR22" s="98"/>
      <c r="AS22" s="98"/>
      <c r="AT22" s="90"/>
      <c r="AU22" s="90"/>
      <c r="AV22" s="90"/>
      <c r="AW22" s="90"/>
      <c r="AX22" s="99"/>
      <c r="AY22" s="98"/>
      <c r="AZ22" s="98"/>
      <c r="BA22" s="98"/>
      <c r="BB22" s="98"/>
      <c r="BC22" s="324" t="s">
        <v>228</v>
      </c>
      <c r="BD22" s="325"/>
      <c r="BE22" s="325"/>
      <c r="BF22" s="326"/>
      <c r="BG22" s="20">
        <v>5</v>
      </c>
      <c r="BH22" s="98"/>
      <c r="BI22" s="98"/>
      <c r="BJ22" s="98"/>
      <c r="BK22" s="98"/>
      <c r="BL22" s="324" t="s">
        <v>228</v>
      </c>
      <c r="BM22" s="325"/>
      <c r="BN22" s="325"/>
      <c r="BO22" s="326"/>
      <c r="BP22" s="20">
        <v>6</v>
      </c>
      <c r="BQ22" s="98"/>
      <c r="BR22" s="98"/>
      <c r="BS22" s="98"/>
      <c r="BT22" s="98"/>
      <c r="BU22" s="98"/>
      <c r="BV22" s="98"/>
      <c r="BW22" s="98"/>
      <c r="BX22" s="98"/>
      <c r="BY22" s="98"/>
      <c r="BZ22" s="98"/>
      <c r="CA22" s="98"/>
      <c r="CB22" s="98"/>
      <c r="CC22" s="98"/>
      <c r="CD22" s="98"/>
      <c r="CE22" s="98"/>
      <c r="CF22" s="98"/>
      <c r="CG22" s="98"/>
      <c r="CH22" s="98"/>
      <c r="CI22" s="98"/>
      <c r="CJ22" s="98"/>
      <c r="CK22" s="98"/>
      <c r="CL22" s="98"/>
      <c r="CM22" s="98"/>
      <c r="CN22" s="98"/>
      <c r="CO22" s="98"/>
      <c r="CP22" s="98"/>
      <c r="CQ22" s="98"/>
      <c r="CR22" s="98"/>
      <c r="CS22" s="98"/>
      <c r="CT22" s="98"/>
      <c r="CU22" s="98"/>
      <c r="CV22" s="98"/>
      <c r="CW22" s="98"/>
      <c r="CX22" s="98"/>
      <c r="CY22" s="98"/>
      <c r="CZ22" s="98"/>
      <c r="DA22" s="98"/>
      <c r="DB22" s="98"/>
      <c r="DC22" s="98"/>
      <c r="DD22" s="98"/>
      <c r="DE22" s="98"/>
      <c r="DF22" s="98"/>
      <c r="DG22" s="98"/>
      <c r="DH22" s="98"/>
      <c r="DI22" s="98"/>
      <c r="DJ22" s="98"/>
      <c r="DK22" s="98"/>
      <c r="DL22" s="98"/>
      <c r="DM22" s="98"/>
      <c r="DN22" s="98"/>
      <c r="DO22" s="98"/>
      <c r="DP22" s="98"/>
      <c r="DQ22" s="98"/>
      <c r="DR22" s="98"/>
      <c r="DS22" s="98"/>
      <c r="DT22" s="98"/>
      <c r="DU22" s="98"/>
      <c r="DV22" s="98"/>
      <c r="DW22" s="98"/>
      <c r="DX22" s="98"/>
      <c r="DY22" s="98"/>
      <c r="DZ22" s="98"/>
      <c r="EA22" s="98"/>
      <c r="EB22" s="98"/>
      <c r="EC22" s="98"/>
      <c r="ED22" s="98"/>
      <c r="EE22" s="98"/>
      <c r="EF22" s="98"/>
      <c r="EG22" s="98"/>
      <c r="EH22" s="98"/>
      <c r="EI22" s="98"/>
      <c r="EJ22" s="98"/>
      <c r="EK22" s="98"/>
      <c r="EL22" s="98"/>
      <c r="EM22" s="93"/>
      <c r="EN22" s="91"/>
      <c r="EO22" s="324" t="s">
        <v>228</v>
      </c>
      <c r="EP22" s="325"/>
      <c r="EQ22" s="325"/>
      <c r="ER22" s="326"/>
      <c r="ES22" s="20">
        <v>1</v>
      </c>
      <c r="ET22" s="98"/>
      <c r="EU22" s="98"/>
      <c r="EV22" s="98"/>
    </row>
    <row r="23" spans="1:152" ht="15.75" thickBot="1">
      <c r="A23" s="249"/>
      <c r="B23" s="98"/>
      <c r="C23" s="341" t="s">
        <v>520</v>
      </c>
      <c r="D23" s="332"/>
      <c r="E23" s="332"/>
      <c r="F23" s="332"/>
      <c r="G23" s="332"/>
      <c r="H23" s="332"/>
      <c r="I23" s="332"/>
      <c r="J23" s="332"/>
      <c r="K23" s="332"/>
      <c r="L23" s="332"/>
      <c r="M23" s="332"/>
      <c r="N23" s="332"/>
      <c r="O23" s="332"/>
      <c r="P23" s="332"/>
      <c r="Q23" s="332"/>
      <c r="R23" s="333"/>
      <c r="S23" s="95"/>
      <c r="T23" s="328" t="s">
        <v>515</v>
      </c>
      <c r="U23" s="328"/>
      <c r="V23" s="328"/>
      <c r="W23" s="328"/>
      <c r="X23" s="328"/>
      <c r="Y23" s="328"/>
      <c r="Z23" s="328"/>
      <c r="AA23" s="334"/>
      <c r="AB23" s="98"/>
      <c r="AC23" s="98"/>
      <c r="AD23" s="98"/>
      <c r="AE23" s="98"/>
      <c r="AF23" s="98"/>
      <c r="AG23" s="98"/>
      <c r="AH23" s="98"/>
      <c r="AI23" s="98"/>
      <c r="AJ23" s="98"/>
      <c r="AK23" s="98"/>
      <c r="AL23" s="327" t="s">
        <v>516</v>
      </c>
      <c r="AM23" s="328"/>
      <c r="AN23" s="328"/>
      <c r="AO23" s="328"/>
      <c r="AP23" s="328"/>
      <c r="AQ23" s="328"/>
      <c r="AR23" s="332"/>
      <c r="AS23" s="332"/>
      <c r="AT23" s="332"/>
      <c r="AU23" s="332"/>
      <c r="AV23" s="332"/>
      <c r="AW23" s="332"/>
      <c r="AX23" s="332"/>
      <c r="AY23" s="332"/>
      <c r="AZ23" s="333"/>
      <c r="BA23" s="98"/>
      <c r="BB23" s="327" t="s">
        <v>517</v>
      </c>
      <c r="BC23" s="328"/>
      <c r="BD23" s="328"/>
      <c r="BE23" s="328"/>
      <c r="BF23" s="328"/>
      <c r="BG23" s="328"/>
      <c r="BH23" s="328"/>
      <c r="BI23" s="334"/>
      <c r="BJ23" s="98"/>
      <c r="BK23" s="327" t="s">
        <v>518</v>
      </c>
      <c r="BL23" s="328"/>
      <c r="BM23" s="328"/>
      <c r="BN23" s="328"/>
      <c r="BO23" s="328"/>
      <c r="BP23" s="328"/>
      <c r="BQ23" s="328"/>
      <c r="BR23" s="334"/>
      <c r="BS23" s="98"/>
      <c r="BT23" s="98"/>
      <c r="BU23" s="98"/>
      <c r="BV23" s="98"/>
      <c r="BW23" s="98"/>
      <c r="BX23" s="98"/>
      <c r="BY23" s="98"/>
      <c r="BZ23" s="98"/>
      <c r="CA23" s="98"/>
      <c r="CB23" s="98"/>
      <c r="CC23" s="98"/>
      <c r="CD23" s="98"/>
      <c r="CE23" s="98"/>
      <c r="CF23" s="98"/>
      <c r="CG23" s="98"/>
      <c r="CH23" s="98"/>
      <c r="CI23" s="98"/>
      <c r="CJ23" s="98"/>
      <c r="CK23" s="98"/>
      <c r="CL23" s="98"/>
      <c r="CM23" s="98"/>
      <c r="CN23" s="98"/>
      <c r="CO23" s="98"/>
      <c r="CP23" s="98"/>
      <c r="CQ23" s="98"/>
      <c r="CR23" s="98"/>
      <c r="CS23" s="98"/>
      <c r="CT23" s="98"/>
      <c r="CU23" s="98"/>
      <c r="CV23" s="98"/>
      <c r="CW23" s="98"/>
      <c r="CX23" s="98"/>
      <c r="CY23" s="98"/>
      <c r="CZ23" s="98"/>
      <c r="DA23" s="98"/>
      <c r="DB23" s="98"/>
      <c r="DC23" s="98"/>
      <c r="DD23" s="98"/>
      <c r="DE23" s="98"/>
      <c r="DF23" s="98"/>
      <c r="DG23" s="98"/>
      <c r="DH23" s="98"/>
      <c r="DI23" s="98"/>
      <c r="DJ23" s="98"/>
      <c r="DK23" s="98"/>
      <c r="DL23" s="98"/>
      <c r="DM23" s="98"/>
      <c r="DN23" s="98"/>
      <c r="DO23" s="98"/>
      <c r="DP23" s="98"/>
      <c r="DQ23" s="98"/>
      <c r="DR23" s="98"/>
      <c r="DS23" s="98"/>
      <c r="DT23" s="98"/>
      <c r="DU23" s="98"/>
      <c r="DV23" s="98"/>
      <c r="DW23" s="98"/>
      <c r="DX23" s="98"/>
      <c r="DY23" s="98"/>
      <c r="DZ23" s="98"/>
      <c r="EA23" s="98"/>
      <c r="EB23" s="98"/>
      <c r="EC23" s="98"/>
      <c r="ED23" s="98"/>
      <c r="EE23" s="98"/>
      <c r="EF23" s="98"/>
      <c r="EG23" s="98"/>
      <c r="EH23" s="98"/>
      <c r="EI23" s="98"/>
      <c r="EJ23" s="98"/>
      <c r="EK23" s="98"/>
      <c r="EL23" s="98"/>
      <c r="EM23" s="93"/>
      <c r="EN23" s="327" t="s">
        <v>519</v>
      </c>
      <c r="EO23" s="328"/>
      <c r="EP23" s="328"/>
      <c r="EQ23" s="328"/>
      <c r="ER23" s="328"/>
      <c r="ES23" s="328"/>
      <c r="ET23" s="328"/>
      <c r="EU23" s="85"/>
      <c r="EV23" s="95"/>
    </row>
    <row r="24" spans="1:152" ht="15.75" thickBot="1">
      <c r="A24" s="249"/>
      <c r="B24" s="98"/>
      <c r="C24" s="55"/>
      <c r="D24" s="66"/>
      <c r="E24" s="66"/>
      <c r="F24" s="66"/>
      <c r="G24" s="66"/>
      <c r="H24" s="66"/>
      <c r="I24" s="66"/>
      <c r="J24" s="66"/>
      <c r="K24" s="1"/>
      <c r="L24" s="66"/>
      <c r="M24" s="66"/>
      <c r="N24" s="66"/>
      <c r="O24" s="66"/>
      <c r="P24" s="66"/>
      <c r="Q24" s="66"/>
      <c r="R24" s="220"/>
      <c r="S24" s="95"/>
      <c r="T24" s="125"/>
      <c r="U24" s="10"/>
      <c r="V24" s="10"/>
      <c r="W24" s="10"/>
      <c r="X24" s="10"/>
      <c r="Y24" s="10"/>
      <c r="Z24" s="10"/>
      <c r="AA24" s="14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12"/>
      <c r="AM24" s="10"/>
      <c r="AN24" s="10"/>
      <c r="AO24" s="10"/>
      <c r="AP24" s="10"/>
      <c r="AQ24" s="10"/>
      <c r="AR24" s="10"/>
      <c r="AS24" s="13"/>
      <c r="AT24" s="57"/>
      <c r="AU24" s="57"/>
      <c r="AV24" s="57"/>
      <c r="AW24" s="57"/>
      <c r="AX24" s="57"/>
      <c r="AY24" s="57"/>
      <c r="AZ24" s="14"/>
      <c r="BA24" s="98"/>
      <c r="BB24" s="12"/>
      <c r="BC24" s="10"/>
      <c r="BD24" s="10"/>
      <c r="BE24" s="10"/>
      <c r="BF24" s="10"/>
      <c r="BG24" s="10"/>
      <c r="BH24" s="10"/>
      <c r="BI24" s="14"/>
      <c r="BJ24" s="98"/>
      <c r="BK24" s="12"/>
      <c r="BL24" s="10"/>
      <c r="BM24" s="10"/>
      <c r="BN24" s="10"/>
      <c r="BO24" s="10"/>
      <c r="BP24" s="10"/>
      <c r="BQ24" s="10"/>
      <c r="BR24" s="14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8"/>
      <c r="CS24" s="98"/>
      <c r="CT24" s="98"/>
      <c r="CU24" s="98"/>
      <c r="CV24" s="98"/>
      <c r="CW24" s="98"/>
      <c r="CX24" s="98"/>
      <c r="CY24" s="98"/>
      <c r="CZ24" s="98"/>
      <c r="DA24" s="98"/>
      <c r="DB24" s="98"/>
      <c r="DC24" s="98"/>
      <c r="DD24" s="98"/>
      <c r="DE24" s="98"/>
      <c r="DF24" s="98"/>
      <c r="DG24" s="98"/>
      <c r="DH24" s="98"/>
      <c r="DI24" s="98"/>
      <c r="DJ24" s="98"/>
      <c r="DK24" s="98"/>
      <c r="DL24" s="98"/>
      <c r="DM24" s="98"/>
      <c r="DN24" s="98"/>
      <c r="DO24" s="98"/>
      <c r="DP24" s="98"/>
      <c r="DQ24" s="98"/>
      <c r="DR24" s="98"/>
      <c r="DS24" s="98"/>
      <c r="DT24" s="98"/>
      <c r="DU24" s="98"/>
      <c r="DV24" s="98"/>
      <c r="DW24" s="98"/>
      <c r="DX24" s="98"/>
      <c r="DY24" s="98"/>
      <c r="DZ24" s="98"/>
      <c r="EA24" s="98"/>
      <c r="EB24" s="98"/>
      <c r="EC24" s="98"/>
      <c r="ED24" s="98"/>
      <c r="EE24" s="98"/>
      <c r="EF24" s="98"/>
      <c r="EG24" s="98"/>
      <c r="EH24" s="98"/>
      <c r="EI24" s="98"/>
      <c r="EJ24" s="98"/>
      <c r="EK24" s="98"/>
      <c r="EL24" s="98"/>
      <c r="EM24" s="93"/>
      <c r="EN24" s="12"/>
      <c r="EO24" s="10"/>
      <c r="EP24" s="10"/>
      <c r="EQ24" s="10"/>
      <c r="ER24" s="10"/>
      <c r="ES24" s="10"/>
      <c r="ET24" s="11"/>
      <c r="EU24" s="100"/>
      <c r="EV24" s="95"/>
    </row>
    <row r="25" spans="1:152" s="138" customFormat="1" ht="15.75" thickBot="1">
      <c r="A25" s="249"/>
      <c r="B25" s="98"/>
      <c r="C25" s="218"/>
      <c r="D25" s="202" t="s">
        <v>235</v>
      </c>
      <c r="E25" s="203" t="s">
        <v>187</v>
      </c>
      <c r="F25" s="203" t="s">
        <v>236</v>
      </c>
      <c r="G25" s="203" t="s">
        <v>182</v>
      </c>
      <c r="H25" s="203" t="s">
        <v>186</v>
      </c>
      <c r="I25" s="204" t="s">
        <v>237</v>
      </c>
      <c r="J25" s="231" t="s">
        <v>238</v>
      </c>
      <c r="K25" s="219"/>
      <c r="L25" s="202" t="s">
        <v>235</v>
      </c>
      <c r="M25" s="203" t="s">
        <v>187</v>
      </c>
      <c r="N25" s="203" t="s">
        <v>236</v>
      </c>
      <c r="O25" s="203" t="s">
        <v>182</v>
      </c>
      <c r="P25" s="203" t="s">
        <v>186</v>
      </c>
      <c r="Q25" s="204" t="s">
        <v>237</v>
      </c>
      <c r="R25" s="232" t="s">
        <v>238</v>
      </c>
      <c r="S25" s="95"/>
      <c r="T25" s="247"/>
      <c r="U25" s="130" t="s">
        <v>235</v>
      </c>
      <c r="V25" s="131" t="s">
        <v>187</v>
      </c>
      <c r="W25" s="131" t="s">
        <v>236</v>
      </c>
      <c r="X25" s="131" t="s">
        <v>182</v>
      </c>
      <c r="Y25" s="131" t="s">
        <v>186</v>
      </c>
      <c r="Z25" s="132" t="s">
        <v>237</v>
      </c>
      <c r="AA25" s="132" t="s">
        <v>238</v>
      </c>
      <c r="AB25" s="134"/>
      <c r="AC25" s="98"/>
      <c r="AD25" s="98"/>
      <c r="AE25" s="98"/>
      <c r="AF25" s="98"/>
      <c r="AG25" s="98"/>
      <c r="AH25" s="98"/>
      <c r="AI25" s="98"/>
      <c r="AJ25" s="98"/>
      <c r="AK25" s="134"/>
      <c r="AL25" s="129"/>
      <c r="AM25" s="130" t="s">
        <v>235</v>
      </c>
      <c r="AN25" s="131" t="s">
        <v>187</v>
      </c>
      <c r="AO25" s="131" t="s">
        <v>236</v>
      </c>
      <c r="AP25" s="131" t="s">
        <v>182</v>
      </c>
      <c r="AQ25" s="131" t="s">
        <v>186</v>
      </c>
      <c r="AR25" s="132" t="s">
        <v>237</v>
      </c>
      <c r="AS25" s="132" t="s">
        <v>238</v>
      </c>
      <c r="AT25" s="135" t="s">
        <v>235</v>
      </c>
      <c r="AU25" s="136" t="s">
        <v>187</v>
      </c>
      <c r="AV25" s="136" t="s">
        <v>236</v>
      </c>
      <c r="AW25" s="136" t="s">
        <v>182</v>
      </c>
      <c r="AX25" s="136" t="s">
        <v>186</v>
      </c>
      <c r="AY25" s="137" t="s">
        <v>237</v>
      </c>
      <c r="AZ25" s="132" t="s">
        <v>238</v>
      </c>
      <c r="BA25" s="134"/>
      <c r="BB25" s="129"/>
      <c r="BC25" s="130" t="s">
        <v>235</v>
      </c>
      <c r="BD25" s="131" t="s">
        <v>187</v>
      </c>
      <c r="BE25" s="131" t="s">
        <v>236</v>
      </c>
      <c r="BF25" s="131" t="s">
        <v>182</v>
      </c>
      <c r="BG25" s="131" t="s">
        <v>186</v>
      </c>
      <c r="BH25" s="132" t="s">
        <v>237</v>
      </c>
      <c r="BI25" s="132" t="s">
        <v>238</v>
      </c>
      <c r="BJ25" s="134"/>
      <c r="BK25" s="129"/>
      <c r="BL25" s="130" t="s">
        <v>235</v>
      </c>
      <c r="BM25" s="131" t="s">
        <v>187</v>
      </c>
      <c r="BN25" s="131" t="s">
        <v>236</v>
      </c>
      <c r="BO25" s="131" t="s">
        <v>182</v>
      </c>
      <c r="BP25" s="131" t="s">
        <v>186</v>
      </c>
      <c r="BQ25" s="132" t="s">
        <v>237</v>
      </c>
      <c r="BR25" s="132" t="s">
        <v>238</v>
      </c>
      <c r="BS25" s="134"/>
      <c r="BT25" s="98"/>
      <c r="BU25" s="98"/>
      <c r="BV25" s="98"/>
      <c r="BW25" s="98"/>
      <c r="BX25" s="98"/>
      <c r="BY25" s="98"/>
      <c r="BZ25" s="98"/>
      <c r="CA25" s="98"/>
      <c r="CB25" s="98"/>
      <c r="CC25" s="98"/>
      <c r="CD25" s="98"/>
      <c r="CE25" s="98"/>
      <c r="CF25" s="98"/>
      <c r="CG25" s="98"/>
      <c r="CH25" s="98"/>
      <c r="CI25" s="98"/>
      <c r="CJ25" s="98"/>
      <c r="CK25" s="98"/>
      <c r="CL25" s="98"/>
      <c r="CM25" s="98"/>
      <c r="CN25" s="98"/>
      <c r="CO25" s="98"/>
      <c r="CP25" s="98"/>
      <c r="CQ25" s="98"/>
      <c r="CR25" s="98"/>
      <c r="CS25" s="98"/>
      <c r="CT25" s="98"/>
      <c r="CU25" s="98"/>
      <c r="CV25" s="98"/>
      <c r="CW25" s="98"/>
      <c r="CX25" s="98"/>
      <c r="CY25" s="98"/>
      <c r="CZ25" s="98"/>
      <c r="DA25" s="98"/>
      <c r="DB25" s="98"/>
      <c r="DC25" s="98"/>
      <c r="DD25" s="98"/>
      <c r="DE25" s="98"/>
      <c r="DF25" s="98"/>
      <c r="DG25" s="98"/>
      <c r="DH25" s="98"/>
      <c r="DI25" s="98"/>
      <c r="DJ25" s="98"/>
      <c r="DK25" s="98"/>
      <c r="DL25" s="98"/>
      <c r="DM25" s="98"/>
      <c r="DN25" s="98"/>
      <c r="DO25" s="98"/>
      <c r="DP25" s="98"/>
      <c r="DQ25" s="98"/>
      <c r="DR25" s="98"/>
      <c r="DS25" s="98"/>
      <c r="DT25" s="98"/>
      <c r="DU25" s="98"/>
      <c r="DV25" s="98"/>
      <c r="DW25" s="98"/>
      <c r="DX25" s="98"/>
      <c r="DY25" s="98"/>
      <c r="DZ25" s="98"/>
      <c r="EA25" s="98"/>
      <c r="EB25" s="98"/>
      <c r="EC25" s="98"/>
      <c r="ED25" s="98"/>
      <c r="EE25" s="98"/>
      <c r="EF25" s="98"/>
      <c r="EG25" s="98"/>
      <c r="EH25" s="98"/>
      <c r="EI25" s="98"/>
      <c r="EJ25" s="98"/>
      <c r="EK25" s="98"/>
      <c r="EL25" s="98"/>
      <c r="EM25" s="93"/>
      <c r="EN25" s="129"/>
      <c r="EO25" s="243" t="s">
        <v>235</v>
      </c>
      <c r="EP25" s="131" t="s">
        <v>187</v>
      </c>
      <c r="EQ25" s="131" t="s">
        <v>236</v>
      </c>
      <c r="ER25" s="131" t="s">
        <v>182</v>
      </c>
      <c r="ES25" s="131" t="s">
        <v>186</v>
      </c>
      <c r="ET25" s="132" t="s">
        <v>237</v>
      </c>
      <c r="EU25" s="132" t="s">
        <v>238</v>
      </c>
      <c r="EV25" s="95"/>
    </row>
    <row r="26" spans="1:152" ht="15.75" customHeight="1" thickBot="1">
      <c r="A26" s="249"/>
      <c r="B26" s="98"/>
      <c r="C26" s="55"/>
      <c r="D26" s="60">
        <v>0</v>
      </c>
      <c r="E26" s="139"/>
      <c r="F26" s="225">
        <v>1</v>
      </c>
      <c r="G26" s="56">
        <v>0</v>
      </c>
      <c r="H26" s="57" t="s">
        <v>239</v>
      </c>
      <c r="I26" s="227" t="str">
        <f>IF(G26=99,"", CONCATENATE("10.0.",TEXT(((BITWISE_AND('IP Address (no mod)'!$D$20,H$22)/4)+G26*8),"0"),".",TEXT((BITWISE_AND('IP Address (no mod)'!$D$21,H$22)*64)+D$26*10+F26,"0")))</f>
        <v>10.0.0.65</v>
      </c>
      <c r="J26" s="177">
        <f>COUNTIF($ET$26:$ET$114,I26)+COUNTIF($Z$26:$Z$114,I26)+COUNTIF($AI$26:$AI$114,I26)+COUNTIF($AR$26:$AR$114,I26)+COUNTIF($AY$26:$AY$114,I26)+COUNTIF($BH$26:$BH$114,I26)+COUNTIF($BQ$26:$BQ$114,I26)+COUNTIF($BZ$26:$BZ$114,I26)+COUNTIF($CI$26:$CI$114,I26)+COUNTIF($CR$26:$CR$114,I26)+COUNTIF($DA$26:$DA$114,I26)+COUNTIF($DJ$26:$DJ$114,I26)+COUNTIF($DS$26:$DS$114,I26)+COUNTIF($EB$26:$EB$114,I26)+COUNTIF($EK$26:$EK$114,I26)+COUNTIF($I$26:$I$100,I26)+COUNTIF($Q$26:$Q$114,I26)-1</f>
        <v>1</v>
      </c>
      <c r="K26" s="219"/>
      <c r="L26" s="60">
        <v>4</v>
      </c>
      <c r="M26" s="139"/>
      <c r="N26" s="140">
        <v>1</v>
      </c>
      <c r="O26" s="141">
        <v>0</v>
      </c>
      <c r="P26" s="57" t="s">
        <v>239</v>
      </c>
      <c r="Q26" s="227" t="str">
        <f>IF(O26=99,"", CONCATENATE("10.0.",TEXT(((BITWISE_AND('IP Address (no mod)'!$D$20,H$22)/4)+O26*8),"0"),".",TEXT((BITWISE_AND('IP Address (no mod)'!$D$21,H$22)*64)+L$26*10+N26,"0")))</f>
        <v>10.0.0.105</v>
      </c>
      <c r="R26" s="177">
        <f>COUNTIF($ET$26:$ET$114,Q26)+COUNTIF($Z$26:$Z$114,Q26)+COUNTIF($AI$26:$AI$114,Q26)+COUNTIF($AR$26:$AR$114,Q26)+COUNTIF($AY$26:$AY$114,Q26)+COUNTIF($BH$26:$BH$114,Q26)+COUNTIF($BQ$26:$BQ$114,Q26)+COUNTIF($BZ$26:$BZ$114,Q26)+COUNTIF($CI$26:$CI$114,Q26)+COUNTIF($CR$26:$CR$114,Q26)+COUNTIF($DA$26:$DA$114,Q26)+COUNTIF($DJ$26:$DJ$114,Q26)+COUNTIF($DS$26:$DS$114,Q26)+COUNTIF($EB$26:$EB$114,Q26)+COUNTIF($EK$26:$EK$114,Q26)+COUNTIF($I$26:$I$100,Q26)+COUNTIF($Q$26:$Q$114,Q26)-1</f>
        <v>0</v>
      </c>
      <c r="S26" s="95"/>
      <c r="T26" s="219"/>
      <c r="U26" s="60">
        <v>0</v>
      </c>
      <c r="V26" s="139"/>
      <c r="W26" s="140">
        <v>1</v>
      </c>
      <c r="X26" s="141">
        <v>0</v>
      </c>
      <c r="Y26" s="57" t="s">
        <v>239</v>
      </c>
      <c r="Z26" s="14" t="str">
        <f>IF(X26=99,"", CONCATENATE("10.0.",TEXT(((BITWISE_AND('IP Address (no mod)'!$D$20,Y$22)/4)+X26*8),"0"),".",TEXT((BITWISE_AND('IP Address (no mod)'!$D$21,Y$22)*64)+U$26*10+W26,"0")))</f>
        <v>10.0.0.129</v>
      </c>
      <c r="AA26" s="100">
        <f>COUNTIF($ET$26:$ET$114,Z26)+COUNTIF($Z$26:$Z$114,Z26)+COUNTIF($AI$26:$AI$114,Z26)+COUNTIF($AR$26:$AR$114,Z26)+COUNTIF($AY$26:$AY$114,Z26)+COUNTIF($BH$26:$BH$114,Z26)+COUNTIF($BQ$26:$BQ$114,Z26)+COUNTIF($BZ$26:$BZ$114,Z26)+COUNTIF($CI$26:$CI$114,Z26)+COUNTIF($CR$26:$CR$114,Z26)+COUNTIF($DA$26:$DA$114,Z26)+COUNTIF($DJ$26:$DJ$114,Z26)+COUNTIF($DS$26:$DS$114,Z26)+COUNTIF($EB$26:$EB$114,Z26)+COUNTIF($EK$26:$EK$114,Z26)+COUNTIF($I$69:$I$100,Z26)-1</f>
        <v>0</v>
      </c>
      <c r="AB26" s="98"/>
      <c r="AC26" s="98"/>
      <c r="AD26" s="98"/>
      <c r="AE26" s="98"/>
      <c r="AF26" s="98"/>
      <c r="AG26" s="98"/>
      <c r="AH26" s="98"/>
      <c r="AI26" s="98"/>
      <c r="AJ26" s="98"/>
      <c r="AK26" s="98"/>
      <c r="AL26" s="55"/>
      <c r="AM26" s="60">
        <v>0</v>
      </c>
      <c r="AN26" s="139"/>
      <c r="AO26" s="140">
        <v>1</v>
      </c>
      <c r="AP26" s="141">
        <v>0</v>
      </c>
      <c r="AQ26" s="57" t="s">
        <v>239</v>
      </c>
      <c r="AR26" s="14" t="str">
        <f>IF(AP26=99,"", CONCATENATE("10.0.",TEXT(((BITWISE_AND('IP Address (no mod)'!$D$20,AQ$22)/4)+AP26*8),"0"),".",TEXT((BITWISE_AND('IP Address (no mod)'!$D$21,AQ$22)*64)+AM$26*10+AO26,"0")))</f>
        <v>10.0.1.1</v>
      </c>
      <c r="AS26" s="100">
        <f>COUNTIF($ET$26:$ET$114,AR26)+COUNTIF($Z$26:$Z$114,AR26)+COUNTIF($AI$26:$AI$114,AR26)+COUNTIF($AR$26:$AR$114,AR26)+COUNTIF($AY$26:$AY$114,AR26)+COUNTIF($BH$26:$BH$114,AR26)+COUNTIF($BQ$26:$BQ$114,AR26)+COUNTIF($BZ$26:$BZ$114,AR26)+COUNTIF($CI$26:$CI$114,AR26)+COUNTIF($CR$26:$CR$114,AR26)+COUNTIF($DA$26:$DA$114,AR26)+COUNTIF($DJ$26:$DJ$114,AR26)+COUNTIF($DS$26:$DS$114,AR26)+COUNTIF($EB$26:$EB$114,AR26)+COUNTIF($EK$26:$EK$114,AR26)+COUNTIF($I$69:$I$100,AR26)-1</f>
        <v>0</v>
      </c>
      <c r="AT26" s="79">
        <v>4</v>
      </c>
      <c r="AU26" s="139"/>
      <c r="AV26" s="140">
        <v>1</v>
      </c>
      <c r="AW26" s="141">
        <v>0</v>
      </c>
      <c r="AX26" s="57" t="s">
        <v>240</v>
      </c>
      <c r="AY26" s="14" t="str">
        <f>IF(AW26=99,"", CONCATENATE("10.0.",TEXT(((BITWISE_AND('IP Address (no mod)'!$D$20,AQ$22)/4)+AW26*8),"0"),".",TEXT((BITWISE_AND('IP Address (no mod)'!$D$21,AQ$22)*64)+AT$26*10+AV26,"0")))</f>
        <v>10.0.1.41</v>
      </c>
      <c r="AZ26" s="100">
        <f>COUNTIF($ET$26:$ET$114,AY26)+COUNTIF($Z$26:$Z$114,AY26)+COUNTIF($AI$26:$AI$114,AY26)+COUNTIF($AR$26:$AR$114,AY26)+COUNTIF($AY$26:$AY$114,AY26)+COUNTIF($BH$26:$BH$114,AY26)+COUNTIF($BQ$26:$BQ$114,AY26)+COUNTIF($BZ$26:$BZ$114,AY26)+COUNTIF($CI$26:$CI$114,AY26)+COUNTIF($CR$26:$CR$114,AY26)+COUNTIF($DA$26:$DA$114,AY26)+COUNTIF($DJ$26:$DJ$114,AY26)+COUNTIF($DS$26:$DS$114,AY26)+COUNTIF($EB$26:$EB$114,AY26)+COUNTIF($EK$26:$EK$114,AY26)+COUNTIF($I$69:$I$100,AY26)-1</f>
        <v>0</v>
      </c>
      <c r="BA26" s="98"/>
      <c r="BB26" s="55"/>
      <c r="BC26" s="60">
        <v>0</v>
      </c>
      <c r="BD26" s="139"/>
      <c r="BE26" s="140">
        <v>1</v>
      </c>
      <c r="BF26" s="141">
        <v>0</v>
      </c>
      <c r="BG26" s="57" t="s">
        <v>239</v>
      </c>
      <c r="BH26" s="14" t="str">
        <f>IF(BF26=99,"", CONCATENATE("10.0.",TEXT(((BITWISE_AND('IP Address (no mod)'!$D$20,BG$22)/4)+BF26*8),"0"),".",TEXT((BITWISE_AND('IP Address (no mod)'!$D$21,BG$22)*64)+BC$26*10+BE26,"0")))</f>
        <v>10.0.1.65</v>
      </c>
      <c r="BI26" s="100">
        <f>COUNTIF($ET$26:$ET$114,BH26)+COUNTIF($Z$26:$Z$114,BH26)+COUNTIF($AI$26:$AI$114,BH26)+COUNTIF($AR$26:$AR$114,BH26)+COUNTIF($AY$26:$AY$114,BH26)+COUNTIF($BH$26:$BH$114,BH26)+COUNTIF($BQ$26:$BQ$114,BH26)+COUNTIF($BZ$26:$BZ$114,BH26)+COUNTIF($CI$26:$CI$114,BH26)+COUNTIF($CR$26:$CR$114,BH26)+COUNTIF($DA$26:$DA$114,BH26)+COUNTIF($DJ$26:$DJ$114,BH26)+COUNTIF($DS$26:$DS$114,BH26)+COUNTIF($EB$26:$EB$114,BH26)+COUNTIF($EK$26:$EK$114,BH26)+COUNTIF($I$69:$I$100,BH26)-1</f>
        <v>0</v>
      </c>
      <c r="BJ26" s="98"/>
      <c r="BK26" s="55"/>
      <c r="BL26" s="60">
        <v>0</v>
      </c>
      <c r="BM26" s="139"/>
      <c r="BN26" s="140">
        <v>1</v>
      </c>
      <c r="BO26" s="141">
        <v>0</v>
      </c>
      <c r="BP26" s="57" t="s">
        <v>239</v>
      </c>
      <c r="BQ26" s="14" t="str">
        <f>IF(BO26=99,"", CONCATENATE("10.0.",TEXT(((BITWISE_AND('IP Address (no mod)'!$D$20,BP$22)/4)+BO26*8),"0"),".",TEXT((BITWISE_AND('IP Address (no mod)'!$D$21,BP$22)*64)+BL$26*10+BN26,"0")))</f>
        <v>10.0.1.129</v>
      </c>
      <c r="BR26" s="100">
        <f>COUNTIF($ET$26:$ET$114,BQ26)+COUNTIF($Z$26:$Z$114,BQ26)+COUNTIF($AI$26:$AI$114,BQ26)+COUNTIF($AR$26:$AR$114,BQ26)+COUNTIF($AY$26:$AY$114,BQ26)+COUNTIF($BH$26:$BH$114,BQ26)+COUNTIF($BQ$26:$BQ$114,BQ26)+COUNTIF($BZ$26:$BZ$114,BQ26)+COUNTIF($CI$26:$CI$114,BQ26)+COUNTIF($CR$26:$CR$114,BQ26)+COUNTIF($DA$26:$DA$114,BQ26)+COUNTIF($DJ$26:$DJ$114,BQ26)+COUNTIF($DS$26:$DS$114,BQ26)+COUNTIF($EB$26:$EB$114,BQ26)+COUNTIF($EK$26:$EK$114,BQ26)+COUNTIF($I$69:$I$100,BQ26)-1</f>
        <v>0</v>
      </c>
      <c r="BS26" s="98"/>
      <c r="BT26" s="98"/>
      <c r="BU26" s="98"/>
      <c r="BV26" s="98"/>
      <c r="BW26" s="98"/>
      <c r="BX26" s="98"/>
      <c r="BY26" s="98"/>
      <c r="BZ26" s="98"/>
      <c r="CA26" s="98"/>
      <c r="CB26" s="98"/>
      <c r="CC26" s="98"/>
      <c r="CD26" s="98"/>
      <c r="CE26" s="98"/>
      <c r="CF26" s="98"/>
      <c r="CG26" s="98"/>
      <c r="CH26" s="98"/>
      <c r="CI26" s="98"/>
      <c r="CJ26" s="98"/>
      <c r="CK26" s="98"/>
      <c r="CL26" s="98"/>
      <c r="CM26" s="98"/>
      <c r="CN26" s="98"/>
      <c r="CO26" s="98"/>
      <c r="CP26" s="98"/>
      <c r="CQ26" s="98"/>
      <c r="CR26" s="98"/>
      <c r="CS26" s="98"/>
      <c r="CT26" s="98"/>
      <c r="CU26" s="98"/>
      <c r="CV26" s="98"/>
      <c r="CW26" s="98"/>
      <c r="CX26" s="98"/>
      <c r="CY26" s="98"/>
      <c r="CZ26" s="98"/>
      <c r="DA26" s="98"/>
      <c r="DB26" s="98"/>
      <c r="DC26" s="98"/>
      <c r="DD26" s="98"/>
      <c r="DE26" s="98"/>
      <c r="DF26" s="98"/>
      <c r="DG26" s="98"/>
      <c r="DH26" s="98"/>
      <c r="DI26" s="98"/>
      <c r="DJ26" s="98"/>
      <c r="DK26" s="98"/>
      <c r="DL26" s="98"/>
      <c r="DM26" s="98"/>
      <c r="DN26" s="98"/>
      <c r="DO26" s="98"/>
      <c r="DP26" s="98"/>
      <c r="DQ26" s="98"/>
      <c r="DR26" s="98"/>
      <c r="DS26" s="98"/>
      <c r="DT26" s="98"/>
      <c r="DU26" s="98"/>
      <c r="DV26" s="98"/>
      <c r="DW26" s="98"/>
      <c r="DX26" s="98"/>
      <c r="DY26" s="98"/>
      <c r="DZ26" s="98"/>
      <c r="EA26" s="98"/>
      <c r="EB26" s="98"/>
      <c r="EC26" s="98"/>
      <c r="ED26" s="98"/>
      <c r="EE26" s="98"/>
      <c r="EF26" s="98"/>
      <c r="EG26" s="98"/>
      <c r="EH26" s="98"/>
      <c r="EI26" s="98"/>
      <c r="EJ26" s="98"/>
      <c r="EK26" s="98"/>
      <c r="EL26" s="98"/>
      <c r="EM26" s="93"/>
      <c r="EN26" s="129"/>
      <c r="EO26" s="60">
        <v>0</v>
      </c>
      <c r="EP26" s="139"/>
      <c r="EQ26" s="140">
        <v>1</v>
      </c>
      <c r="ER26" s="58">
        <v>0</v>
      </c>
      <c r="ES26" s="58" t="s">
        <v>239</v>
      </c>
      <c r="ET26" s="58" t="str">
        <f>IF(ER26=99,"", CONCATENATE("10.0.",TEXT(((BITWISE_AND('IP Address (no mod)'!$D$20,ES$22)/4)+ER26*8),"0"),".",TEXT((BITWISE_AND('IP Address (no mod)'!$D$21,ES$22)*64)+EO$26*10+EQ26,"0")))</f>
        <v>10.0.0.65</v>
      </c>
      <c r="EU26" s="100">
        <f>COUNTIF($ET$26:$ET$114,ET26)+COUNTIF($Z$26:$Z$114,ET26)+COUNTIF($AI$26:$AI$114,ET26)+COUNTIF($AR$26:$AR$114,ET26)+COUNTIF($AY$26:$AY$114,ET26)+COUNTIF($BH$26:$BH$114,ET26)+COUNTIF($BQ$26:$BQ$114,ET26)+COUNTIF($BZ$26:$BZ$114,ET26)+COUNTIF($CI$26:$CI$114,ET26)+COUNTIF($CR$26:$CR$114,ET26)+COUNTIF($DA$26:$DA$114,ET26)+COUNTIF($DJ$26:$DJ$114,ET26)+COUNTIF($DS$26:$DS$114,ET26)+COUNTIF($EB$26:$EB$114,ET26)+COUNTIF($EK$26:$EK$114,ET26)+COUNTIF($I$69:$I$100,ET26)-1</f>
        <v>0</v>
      </c>
      <c r="EV26" s="95"/>
    </row>
    <row r="27" spans="1:152" ht="14.45" customHeight="1">
      <c r="A27" s="249"/>
      <c r="B27" s="98"/>
      <c r="C27" s="55"/>
      <c r="D27" s="329" t="s">
        <v>239</v>
      </c>
      <c r="E27" s="61" t="s">
        <v>241</v>
      </c>
      <c r="F27" s="61">
        <v>0</v>
      </c>
      <c r="G27" s="63">
        <v>1</v>
      </c>
      <c r="H27" s="62" t="s">
        <v>452</v>
      </c>
      <c r="I27" s="226" t="str">
        <f>IF(G27=99,"", CONCATENATE("10.0.",TEXT(((BITWISE_AND('IP Address (no mod)'!$D$20,H$22)/4)+G27*8),"0"),".",TEXT((BITWISE_AND('IP Address (no mod)'!$D$21,H$22)*64)+D$26*10+F27,"0")))</f>
        <v>10.0.8.64</v>
      </c>
      <c r="J27" s="178">
        <f>IF(I27="",0,COUNTIF($ET$26:$ET$114,I27)+COUNTIF($Z$26:$Z$114,I27)+COUNTIF($AI$26:$AI$114,I27)+COUNTIF($AR$26:$AR$114,I27)+COUNTIF($AY$26:$AY$114,I27)+COUNTIF($BH$26:$BH$114,I27)+COUNTIF($BQ$26:$BQ$114,I27)+COUNTIF($BZ$26:$BZ$114,I27)+COUNTIF($CI$26:$CI$114,I27)+COUNTIF($CR$26:$CR$114,I27)+COUNTIF($DA$26:$DA$114,I27)+COUNTIF($DJ$26:$DJ$114,I27)+COUNTIF($DS$26:$DS$114,I27)+COUNTIF($EB$26:$EB$114,I27)+COUNTIF($EK$26:$EK$114,I27)+COUNTIF($I$26:$I$100,I27)+COUNTIF($Q$26:$Q$114,I27)-1)</f>
        <v>2</v>
      </c>
      <c r="K27" s="219"/>
      <c r="L27" s="329" t="s">
        <v>240</v>
      </c>
      <c r="M27" s="83" t="s">
        <v>241</v>
      </c>
      <c r="N27" s="65">
        <v>0</v>
      </c>
      <c r="O27" s="1">
        <v>1</v>
      </c>
      <c r="P27" s="62" t="s">
        <v>453</v>
      </c>
      <c r="Q27" s="226" t="str">
        <f>IF(O27=99,"", CONCATENATE("10.0.",TEXT(((BITWISE_AND('IP Address (no mod)'!$D$20,H$22)/4)+O27*8),"0"),".",TEXT((BITWISE_AND('IP Address (no mod)'!$D$21,H$22)*64)+L$26*10+N27,"0")))</f>
        <v>10.0.8.104</v>
      </c>
      <c r="R27" s="178">
        <f>IF(Q27="",0,COUNTIF($ET$26:$ET$114,Q27)+COUNTIF($Z$26:$Z$114,Q27)+COUNTIF($AI$26:$AI$114,Q27)+COUNTIF($AR$26:$AR$114,Q27)+COUNTIF($AY$26:$AY$114,Q27)+COUNTIF($BH$26:$BH$114,Q27)+COUNTIF($BQ$26:$BQ$114,Q27)+COUNTIF($BZ$26:$BZ$114,Q27)+COUNTIF($CI$26:$CI$114,Q27)+COUNTIF($CR$26:$CR$114,Q27)+COUNTIF($DA$26:$DA$114,Q27)+COUNTIF($DJ$26:$DJ$114,Q27)+COUNTIF($DS$26:$DS$114,Q27)+COUNTIF($EB$26:$EB$114,Q27)+COUNTIF($EK$26:$EK$114,Q27)+COUNTIF($I$26:$I$100,Q27)+COUNTIF($Q$26:$Q$114,Q27)-1)</f>
        <v>0</v>
      </c>
      <c r="S27" s="95"/>
      <c r="T27" s="219"/>
      <c r="U27" s="329" t="s">
        <v>239</v>
      </c>
      <c r="V27" s="61" t="s">
        <v>241</v>
      </c>
      <c r="W27" s="61">
        <v>0</v>
      </c>
      <c r="X27" s="61">
        <v>1</v>
      </c>
      <c r="Y27" s="62" t="s">
        <v>457</v>
      </c>
      <c r="Z27" s="14" t="str">
        <f>IF(X27=99,"", CONCATENATE("10.0.",TEXT(((BITWISE_AND('IP Address (no mod)'!$D$20,Y$22)/4)+X27*8),"0"),".",TEXT((BITWISE_AND('IP Address (no mod)'!$D$21,Y$22)*64)+U$26*10+W27,"0")))</f>
        <v>10.0.8.128</v>
      </c>
      <c r="AA27" s="100">
        <f>IF(Z27="",0,COUNTIF($ET$26:$ET$114,Z27)+COUNTIF($Z$26:$Z$114,Z27)+COUNTIF($AI$26:$AI$114,Z27)+COUNTIF($AR$26:$AR$114,Z27)+COUNTIF($AY$26:$AY$114,Z27)+COUNTIF($BH$26:$BH$114,Z27)+COUNTIF($BQ$26:$BQ$114,Z27)+COUNTIF($BZ$26:$BZ$114,Z27)+COUNTIF($CI$26:$CI$114,Z27)+COUNTIF($CR$26:$CR$114,Z27)+COUNTIF($DA$26:$DA$114,Z27)+COUNTIF($DJ$26:$DJ$114,Z27)+COUNTIF($DS$26:$DS$114,Z27)+COUNTIF($EB$26:$EB$114,Z27)+COUNTIF($EK$26:$EK$114,Z27)+COUNTIF($I$69:$I$100,Z27)-1)</f>
        <v>1</v>
      </c>
      <c r="AB27" s="98"/>
      <c r="AC27" s="98"/>
      <c r="AD27" s="98"/>
      <c r="AE27" s="98"/>
      <c r="AF27" s="98"/>
      <c r="AG27" s="98"/>
      <c r="AH27" s="98"/>
      <c r="AI27" s="98"/>
      <c r="AJ27" s="98"/>
      <c r="AK27" s="98"/>
      <c r="AL27" s="55"/>
      <c r="AM27" s="329" t="s">
        <v>239</v>
      </c>
      <c r="AN27" s="61" t="s">
        <v>241</v>
      </c>
      <c r="AO27" s="61">
        <v>0</v>
      </c>
      <c r="AP27" s="61">
        <v>1</v>
      </c>
      <c r="AQ27" s="62" t="s">
        <v>457</v>
      </c>
      <c r="AR27" s="14" t="str">
        <f>IF(AP27=99,"", CONCATENATE("10.0.",TEXT(((BITWISE_AND('IP Address (no mod)'!$D$20,AQ$22)/4)+AP27*8),"0"),".",TEXT((BITWISE_AND('IP Address (no mod)'!$D$21,AQ$22)*64)+AM$26*10+AO27,"0")))</f>
        <v>10.0.9.0</v>
      </c>
      <c r="AS27" s="100">
        <f>IF(AR27="",0,COUNTIF($ET$26:$ET$114,AR27)+COUNTIF($Z$26:$Z$114,AR27)+COUNTIF($AI$26:$AI$114,AR27)+COUNTIF($AR$26:$AR$114,AR27)+COUNTIF($AY$26:$AY$114,AR27)+COUNTIF($BH$26:$BH$114,AR27)+COUNTIF($BQ$26:$BQ$114,AR27)+COUNTIF($BZ$26:$BZ$114,AR27)+COUNTIF($CI$26:$CI$114,AR27)+COUNTIF($CR$26:$CR$114,AR27)+COUNTIF($DA$26:$DA$114,AR27)+COUNTIF($DJ$26:$DJ$114,AR27)+COUNTIF($DS$26:$DS$114,AR27)+COUNTIF($EB$26:$EB$114,AR27)+COUNTIF($EK$26:$EK$114,AR27)+COUNTIF($I$69:$I$100,AR27)-1)</f>
        <v>1</v>
      </c>
      <c r="AT27" s="329" t="s">
        <v>240</v>
      </c>
      <c r="AU27" s="80" t="s">
        <v>241</v>
      </c>
      <c r="AV27" s="80">
        <v>0</v>
      </c>
      <c r="AW27" s="61">
        <v>3</v>
      </c>
      <c r="AX27" s="62" t="s">
        <v>242</v>
      </c>
      <c r="AY27" s="14" t="str">
        <f>IF(AW27=99,"", CONCATENATE("10.0.",TEXT(((BITWISE_AND('IP Address (no mod)'!$D$20,AQ$22)/4)+AW27*8),"0"),".",TEXT((BITWISE_AND('IP Address (no mod)'!$D$21,AQ$22)*64)+AT$26*10+AV27,"0")))</f>
        <v>10.0.25.40</v>
      </c>
      <c r="AZ27" s="100">
        <f>IF(AY27="",0,COUNTIF($ET$26:$ET$114,AY27)+COUNTIF($Z$26:$Z$114,AY27)+COUNTIF($AI$26:$AI$114,AY27)+COUNTIF($AR$26:$AR$114,AY27)+COUNTIF($AY$26:$AY$114,AY27)+COUNTIF($BH$26:$BH$114,AY27)+COUNTIF($BQ$26:$BQ$114,AY27)+COUNTIF($BZ$26:$BZ$114,AY27)+COUNTIF($CI$26:$CI$114,AY27)+COUNTIF($CR$26:$CR$114,AY27)+COUNTIF($DA$26:$DA$114,AY27)+COUNTIF($DJ$26:$DJ$114,AY27)+COUNTIF($DS$26:$DS$114,AY27)+COUNTIF($EB$26:$EB$114,AY27)+COUNTIF($EK$26:$EK$114,AY27)+COUNTIF($I$69:$I$100,AY27)-1)</f>
        <v>0</v>
      </c>
      <c r="BA27" s="98"/>
      <c r="BB27" s="55"/>
      <c r="BC27" s="329" t="s">
        <v>239</v>
      </c>
      <c r="BD27" s="61" t="s">
        <v>241</v>
      </c>
      <c r="BE27" s="61">
        <v>0</v>
      </c>
      <c r="BF27" s="61">
        <v>1</v>
      </c>
      <c r="BG27" s="62" t="s">
        <v>457</v>
      </c>
      <c r="BH27" s="14" t="str">
        <f>IF(BF27=99,"", CONCATENATE("10.0.",TEXT(((BITWISE_AND('IP Address (no mod)'!$D$20,BG$22)/4)+BF27*8),"0"),".",TEXT((BITWISE_AND('IP Address (no mod)'!$D$21,BG$22)*64)+BC$26*10+BE27,"0")))</f>
        <v>10.0.9.64</v>
      </c>
      <c r="BI27" s="100">
        <f>IF(BH27="",0,COUNTIF($ET$26:$ET$114,BH27)+COUNTIF($Z$26:$Z$114,BH27)+COUNTIF($AI$26:$AI$114,BH27)+COUNTIF($AR$26:$AR$114,BH27)+COUNTIF($AY$26:$AY$114,BH27)+COUNTIF($BH$26:$BH$114,BH27)+COUNTIF($BQ$26:$BQ$114,BH27)+COUNTIF($BZ$26:$BZ$114,BH27)+COUNTIF($CI$26:$CI$114,BH27)+COUNTIF($CR$26:$CR$114,BH27)+COUNTIF($DA$26:$DA$114,BH27)+COUNTIF($DJ$26:$DJ$114,BH27)+COUNTIF($DS$26:$DS$114,BH27)+COUNTIF($EB$26:$EB$114,BH27)+COUNTIF($EK$26:$EK$114,BH27)+COUNTIF($I$69:$I$100,BH27)-1)</f>
        <v>1</v>
      </c>
      <c r="BJ27" s="98"/>
      <c r="BK27" s="55"/>
      <c r="BL27" s="329" t="s">
        <v>239</v>
      </c>
      <c r="BM27" s="61" t="s">
        <v>241</v>
      </c>
      <c r="BN27" s="61">
        <v>0</v>
      </c>
      <c r="BO27" s="61">
        <v>1</v>
      </c>
      <c r="BP27" s="62" t="s">
        <v>457</v>
      </c>
      <c r="BQ27" s="14" t="str">
        <f>IF(BO27=99,"", CONCATENATE("10.0.",TEXT(((BITWISE_AND('IP Address (no mod)'!$D$20,BP$22)/4)+BO27*8),"0"),".",TEXT((BITWISE_AND('IP Address (no mod)'!$D$21,BP$22)*64)+BL$26*10+BN27,"0")))</f>
        <v>10.0.9.128</v>
      </c>
      <c r="BR27" s="100">
        <f>IF(BQ27="",0,COUNTIF($ET$26:$ET$114,BQ27)+COUNTIF($Z$26:$Z$114,BQ27)+COUNTIF($AI$26:$AI$114,BQ27)+COUNTIF($AR$26:$AR$114,BQ27)+COUNTIF($AY$26:$AY$114,BQ27)+COUNTIF($BH$26:$BH$114,BQ27)+COUNTIF($BQ$26:$BQ$114,BQ27)+COUNTIF($BZ$26:$BZ$114,BQ27)+COUNTIF($CI$26:$CI$114,BQ27)+COUNTIF($CR$26:$CR$114,BQ27)+COUNTIF($DA$26:$DA$114,BQ27)+COUNTIF($DJ$26:$DJ$114,BQ27)+COUNTIF($DS$26:$DS$114,BQ27)+COUNTIF($EB$26:$EB$114,BQ27)+COUNTIF($EK$26:$EK$114,BQ27)+COUNTIF($I$69:$I$100,BQ27)-1)</f>
        <v>1</v>
      </c>
      <c r="BS27" s="98"/>
      <c r="BT27" s="98"/>
      <c r="BU27" s="98"/>
      <c r="BV27" s="98"/>
      <c r="BW27" s="98"/>
      <c r="BX27" s="98"/>
      <c r="BY27" s="98"/>
      <c r="BZ27" s="98"/>
      <c r="CA27" s="98"/>
      <c r="CB27" s="98"/>
      <c r="CC27" s="98"/>
      <c r="CD27" s="98"/>
      <c r="CE27" s="98"/>
      <c r="CF27" s="98"/>
      <c r="CG27" s="98"/>
      <c r="CH27" s="98"/>
      <c r="CI27" s="98"/>
      <c r="CJ27" s="98"/>
      <c r="CK27" s="98"/>
      <c r="CL27" s="98"/>
      <c r="CM27" s="98"/>
      <c r="CN27" s="98"/>
      <c r="CO27" s="98"/>
      <c r="CP27" s="98"/>
      <c r="CQ27" s="98"/>
      <c r="CR27" s="98"/>
      <c r="CS27" s="98"/>
      <c r="CT27" s="98"/>
      <c r="CU27" s="98"/>
      <c r="CV27" s="98"/>
      <c r="CW27" s="98"/>
      <c r="CX27" s="98"/>
      <c r="CY27" s="98"/>
      <c r="CZ27" s="98"/>
      <c r="DA27" s="98"/>
      <c r="DB27" s="98"/>
      <c r="DC27" s="98"/>
      <c r="DD27" s="98"/>
      <c r="DE27" s="98"/>
      <c r="DF27" s="98"/>
      <c r="DG27" s="98"/>
      <c r="DH27" s="98"/>
      <c r="DI27" s="98"/>
      <c r="DJ27" s="98"/>
      <c r="DK27" s="98"/>
      <c r="DL27" s="98"/>
      <c r="DM27" s="98"/>
      <c r="DN27" s="98"/>
      <c r="DO27" s="98"/>
      <c r="DP27" s="98"/>
      <c r="DQ27" s="98"/>
      <c r="DR27" s="98"/>
      <c r="DS27" s="98"/>
      <c r="DT27" s="98"/>
      <c r="DU27" s="98"/>
      <c r="DV27" s="98"/>
      <c r="DW27" s="98"/>
      <c r="DX27" s="98"/>
      <c r="DY27" s="98"/>
      <c r="DZ27" s="98"/>
      <c r="EA27" s="98"/>
      <c r="EB27" s="98"/>
      <c r="EC27" s="98"/>
      <c r="ED27" s="98"/>
      <c r="EE27" s="98"/>
      <c r="EF27" s="98"/>
      <c r="EG27" s="98"/>
      <c r="EH27" s="98"/>
      <c r="EI27" s="98"/>
      <c r="EJ27" s="98"/>
      <c r="EK27" s="98"/>
      <c r="EL27" s="98"/>
      <c r="EM27" s="93"/>
      <c r="EN27" s="129"/>
      <c r="EO27" s="330" t="s">
        <v>239</v>
      </c>
      <c r="EP27" s="12" t="s">
        <v>241</v>
      </c>
      <c r="EQ27" s="125">
        <v>0</v>
      </c>
      <c r="ER27" s="125">
        <v>1</v>
      </c>
      <c r="ES27" s="125" t="s">
        <v>457</v>
      </c>
      <c r="ET27" s="14" t="str">
        <f>IF(ER27=99,"", CONCATENATE("10.0.",TEXT(((BITWISE_AND('IP Address (no mod)'!$D$20,ES$22)/4)+ER27*8),"0"),".",TEXT((BITWISE_AND('IP Address (no mod)'!$D$21,ES$22)*64)+EO$26*10+EQ27,"0")))</f>
        <v>10.0.8.64</v>
      </c>
      <c r="EU27" s="100">
        <f>IF(ET27="",0,COUNTIF($ET$26:$ET$114,ET27)+COUNTIF($Z$26:$Z$114,ET27)+COUNTIF($AI$26:$AI$114,ET27)+COUNTIF($AR$26:$AR$114,ET27)+COUNTIF($AY$26:$AY$114,ET27)+COUNTIF($BH$26:$BH$114,ET27)+COUNTIF($BQ$26:$BQ$114,ET27)+COUNTIF($BZ$26:$BZ$114,ET27)+COUNTIF($CI$26:$CI$114,ET27)+COUNTIF($CR$26:$CR$114,ET27)+COUNTIF($DA$26:$DA$114,ET27)+COUNTIF($DJ$26:$DJ$114,ET27)+COUNTIF($DS$26:$DS$114,ET27)+COUNTIF($EB$26:$EB$114,ET27)+COUNTIF($EK$26:$EK$114,ET27)+COUNTIF($I$69:$I$100,ET27)-1)</f>
        <v>1</v>
      </c>
      <c r="EV27" s="95"/>
    </row>
    <row r="28" spans="1:152" ht="15" customHeight="1">
      <c r="A28" s="249"/>
      <c r="B28" s="98"/>
      <c r="C28" s="55"/>
      <c r="D28" s="330"/>
      <c r="E28" s="63" t="s">
        <v>243</v>
      </c>
      <c r="F28" s="63">
        <v>1</v>
      </c>
      <c r="G28" s="63">
        <v>3</v>
      </c>
      <c r="H28" s="62" t="s">
        <v>454</v>
      </c>
      <c r="I28" s="222" t="str">
        <f>IF(G28=99,"", CONCATENATE("10.0.",TEXT(((BITWISE_AND('IP Address (no mod)'!$D$20,H$22)/4)+G28*8),"0"),".",TEXT((BITWISE_AND('IP Address (no mod)'!$D$21,H$22)*64)+D$26*10+F28,"0")))</f>
        <v>10.0.24.65</v>
      </c>
      <c r="J28" s="178">
        <f>IF(I28="",0,COUNTIF($ET$26:$ET$114,I28)+COUNTIF($Z$26:$Z$114,I28)+COUNTIF($AI$26:$AI$114,I28)+COUNTIF($AR$26:$AR$114,I28)+COUNTIF($AY$26:$AY$114,I28)+COUNTIF($BH$26:$BH$114,I28)+COUNTIF($BQ$26:$BQ$114,I28)+COUNTIF($BZ$26:$BZ$114,I28)+COUNTIF($CI$26:$CI$114,I28)+COUNTIF($CR$26:$CR$114,I28)+COUNTIF($DA$26:$DA$114,I28)+COUNTIF($DJ$26:$DJ$114,I28)+COUNTIF($DS$26:$DS$114,I28)+COUNTIF($EB$26:$EB$114,I28)+COUNTIF($EK$26:$EK$114,I28)+COUNTIF($I$26:$I$100,I28)+COUNTIF($Q$26:$Q$114,I28)-1)</f>
        <v>0</v>
      </c>
      <c r="K28" s="219"/>
      <c r="L28" s="330"/>
      <c r="M28" s="15" t="s">
        <v>243</v>
      </c>
      <c r="N28" s="1">
        <v>1</v>
      </c>
      <c r="O28" s="1">
        <v>1</v>
      </c>
      <c r="P28" s="64" t="s">
        <v>455</v>
      </c>
      <c r="Q28" s="222" t="str">
        <f>IF(O28=99,"", CONCATENATE("10.0.",TEXT(((BITWISE_AND('IP Address (no mod)'!$D$20,H$22)/4)+O28*8),"0"),".",TEXT((BITWISE_AND('IP Address (no mod)'!$D$21,H$22)*64)+L$26*10+N28,"0")))</f>
        <v>10.0.8.105</v>
      </c>
      <c r="R28" s="178">
        <f>IF(Q28="",0,COUNTIF($ET$26:$ET$114,Q28)+COUNTIF($Z$26:$Z$114,Q28)+COUNTIF($AI$26:$AI$114,Q28)+COUNTIF($AR$26:$AR$114,Q28)+COUNTIF($AY$26:$AY$114,Q28)+COUNTIF($BH$26:$BH$114,Q28)+COUNTIF($BQ$26:$BQ$114,Q28)+COUNTIF($BZ$26:$BZ$114,Q28)+COUNTIF($CI$26:$CI$114,Q28)+COUNTIF($CR$26:$CR$114,Q28)+COUNTIF($DA$26:$DA$114,Q28)+COUNTIF($DJ$26:$DJ$114,Q28)+COUNTIF($DS$26:$DS$114,Q28)+COUNTIF($EB$26:$EB$114,Q28)+COUNTIF($EK$26:$EK$114,Q28)+COUNTIF($I$26:$I$100,Q28)+COUNTIF($Q$26:$Q$114,Q28)-1)</f>
        <v>0</v>
      </c>
      <c r="S28" s="95"/>
      <c r="T28" s="219"/>
      <c r="U28" s="330"/>
      <c r="V28" s="63" t="s">
        <v>243</v>
      </c>
      <c r="W28" s="63">
        <v>1</v>
      </c>
      <c r="X28" s="63">
        <v>2</v>
      </c>
      <c r="Y28" s="64" t="s">
        <v>244</v>
      </c>
      <c r="Z28" s="3" t="str">
        <f>IF(X28=99,"", CONCATENATE("10.0.",TEXT(((BITWISE_AND('IP Address (no mod)'!$D$20,Y$22)/4)+X28*8),"0"),".",TEXT((BITWISE_AND('IP Address (no mod)'!$D$21,Y$22)*64)+U$26*10+W28,"0")))</f>
        <v>10.0.16.129</v>
      </c>
      <c r="AA28" s="100">
        <f>IF(Z28="",0,COUNTIF($ET$26:$ET$114,Z28)+COUNTIF($Z$26:$Z$114,Z28)+COUNTIF($AI$26:$AI$114,Z28)+COUNTIF($AR$26:$AR$114,Z28)+COUNTIF($AY$26:$AY$114,Z28)+COUNTIF($BH$26:$BH$114,Z28)+COUNTIF($BQ$26:$BQ$114,Z28)+COUNTIF($BZ$26:$BZ$114,Z28)+COUNTIF($CI$26:$CI$114,Z28)+COUNTIF($CR$26:$CR$114,Z28)+COUNTIF($DA$26:$DA$114,Z28)+COUNTIF($DJ$26:$DJ$114,Z28)+COUNTIF($DS$26:$DS$114,Z28)+COUNTIF($EB$26:$EB$114,Z28)+COUNTIF($EK$26:$EK$114,Z28)+COUNTIF($I$69:$I$100,Z28)-1)</f>
        <v>0</v>
      </c>
      <c r="AB28" s="98"/>
      <c r="AC28" s="98"/>
      <c r="AD28" s="98"/>
      <c r="AE28" s="98"/>
      <c r="AF28" s="98"/>
      <c r="AG28" s="98"/>
      <c r="AH28" s="98"/>
      <c r="AI28" s="98"/>
      <c r="AJ28" s="98"/>
      <c r="AK28" s="98"/>
      <c r="AL28" s="55"/>
      <c r="AM28" s="330"/>
      <c r="AN28" s="63" t="s">
        <v>243</v>
      </c>
      <c r="AO28" s="63">
        <v>1</v>
      </c>
      <c r="AP28" s="63">
        <v>2</v>
      </c>
      <c r="AQ28" s="64" t="s">
        <v>244</v>
      </c>
      <c r="AR28" s="3" t="str">
        <f>IF(AP28=99,"", CONCATENATE("10.0.",TEXT(((BITWISE_AND('IP Address (no mod)'!$D$20,AQ$22)/4)+AP28*8),"0"),".",TEXT((BITWISE_AND('IP Address (no mod)'!$D$21,AQ$22)*64)+AM$26*10+AO28,"0")))</f>
        <v>10.0.17.1</v>
      </c>
      <c r="AS28" s="100">
        <f>IF(AR28="",0,COUNTIF($ET$26:$ET$114,AR28)+COUNTIF($Z$26:$Z$114,AR28)+COUNTIF($AI$26:$AI$114,AR28)+COUNTIF($AR$26:$AR$114,AR28)+COUNTIF($AY$26:$AY$114,AR28)+COUNTIF($BH$26:$BH$114,AR28)+COUNTIF($BQ$26:$BQ$114,AR28)+COUNTIF($BZ$26:$BZ$114,AR28)+COUNTIF($CI$26:$CI$114,AR28)+COUNTIF($CR$26:$CR$114,AR28)+COUNTIF($DA$26:$DA$114,AR28)+COUNTIF($DJ$26:$DJ$114,AR28)+COUNTIF($DS$26:$DS$114,AR28)+COUNTIF($EB$26:$EB$114,AR28)+COUNTIF($EK$26:$EK$114,AR28)+COUNTIF($I$69:$I$100,AR28)-1)</f>
        <v>0</v>
      </c>
      <c r="AT28" s="330"/>
      <c r="AU28" s="63" t="s">
        <v>243</v>
      </c>
      <c r="AV28" s="1">
        <v>1</v>
      </c>
      <c r="AW28" s="63">
        <v>99</v>
      </c>
      <c r="AX28" s="64"/>
      <c r="AY28" s="3" t="str">
        <f>IF(AW28=99,"", CONCATENATE("10.0.",TEXT(((BITWISE_AND('IP Address (no mod)'!$D$20,AQ$22)/4)+AW28*8),"0"),".",TEXT((BITWISE_AND('IP Address (no mod)'!$D$21,AQ$22)*64)+AT$26*10+AV28,"0")))</f>
        <v/>
      </c>
      <c r="AZ28" s="100">
        <f>IF(AY28="",0,COUNTIF($ET$26:$ET$114,AY28)+COUNTIF($Z$26:$Z$114,AY28)+COUNTIF($AI$26:$AI$114,AY28)+COUNTIF($AR$26:$AR$114,AY28)+COUNTIF($AY$26:$AY$114,AY28)+COUNTIF($BH$26:$BH$114,AY28)+COUNTIF($BQ$26:$BQ$114,AY28)+COUNTIF($BZ$26:$BZ$114,AY28)+COUNTIF($CI$26:$CI$114,AY28)+COUNTIF($CR$26:$CR$114,AY28)+COUNTIF($DA$26:$DA$114,AY28)+COUNTIF($DJ$26:$DJ$114,AY28)+COUNTIF($DS$26:$DS$114,AY28)+COUNTIF($EB$26:$EB$114,AY28)+COUNTIF($EK$26:$EK$114,AY28)+COUNTIF($I$69:$I$100,AY28)-1)</f>
        <v>0</v>
      </c>
      <c r="BA28" s="98"/>
      <c r="BB28" s="55"/>
      <c r="BC28" s="330"/>
      <c r="BD28" s="63" t="s">
        <v>243</v>
      </c>
      <c r="BE28" s="63">
        <v>1</v>
      </c>
      <c r="BF28" s="63">
        <v>2</v>
      </c>
      <c r="BG28" s="64" t="s">
        <v>244</v>
      </c>
      <c r="BH28" s="3" t="str">
        <f>IF(BF28=99,"", CONCATENATE("10.0.",TEXT(((BITWISE_AND('IP Address (no mod)'!$D$20,BG$22)/4)+BF28*8),"0"),".",TEXT((BITWISE_AND('IP Address (no mod)'!$D$21,BG$22)*64)+BC$26*10+BE28,"0")))</f>
        <v>10.0.17.65</v>
      </c>
      <c r="BI28" s="100">
        <f>IF(BH28="",0,COUNTIF($ET$26:$ET$114,BH28)+COUNTIF($Z$26:$Z$114,BH28)+COUNTIF($AI$26:$AI$114,BH28)+COUNTIF($AR$26:$AR$114,BH28)+COUNTIF($AY$26:$AY$114,BH28)+COUNTIF($BH$26:$BH$114,BH28)+COUNTIF($BQ$26:$BQ$114,BH28)+COUNTIF($BZ$26:$BZ$114,BH28)+COUNTIF($CI$26:$CI$114,BH28)+COUNTIF($CR$26:$CR$114,BH28)+COUNTIF($DA$26:$DA$114,BH28)+COUNTIF($DJ$26:$DJ$114,BH28)+COUNTIF($DS$26:$DS$114,BH28)+COUNTIF($EB$26:$EB$114,BH28)+COUNTIF($EK$26:$EK$114,BH28)+COUNTIF($I$69:$I$100,BH28)-1)</f>
        <v>0</v>
      </c>
      <c r="BJ28" s="98"/>
      <c r="BK28" s="55"/>
      <c r="BL28" s="330"/>
      <c r="BM28" s="63" t="s">
        <v>243</v>
      </c>
      <c r="BN28" s="63">
        <v>1</v>
      </c>
      <c r="BO28" s="63">
        <v>2</v>
      </c>
      <c r="BP28" s="64" t="s">
        <v>244</v>
      </c>
      <c r="BQ28" s="3" t="str">
        <f>IF(BO28=99,"", CONCATENATE("10.0.",TEXT(((BITWISE_AND('IP Address (no mod)'!$D$20,BP$22)/4)+BO28*8),"0"),".",TEXT((BITWISE_AND('IP Address (no mod)'!$D$21,BP$22)*64)+BL$26*10+BN28,"0")))</f>
        <v>10.0.17.129</v>
      </c>
      <c r="BR28" s="100">
        <f>IF(BQ28="",0,COUNTIF($ET$26:$ET$114,BQ28)+COUNTIF($Z$26:$Z$114,BQ28)+COUNTIF($AI$26:$AI$114,BQ28)+COUNTIF($AR$26:$AR$114,BQ28)+COUNTIF($AY$26:$AY$114,BQ28)+COUNTIF($BH$26:$BH$114,BQ28)+COUNTIF($BQ$26:$BQ$114,BQ28)+COUNTIF($BZ$26:$BZ$114,BQ28)+COUNTIF($CI$26:$CI$114,BQ28)+COUNTIF($CR$26:$CR$114,BQ28)+COUNTIF($DA$26:$DA$114,BQ28)+COUNTIF($DJ$26:$DJ$114,BQ28)+COUNTIF($DS$26:$DS$114,BQ28)+COUNTIF($EB$26:$EB$114,BQ28)+COUNTIF($EK$26:$EK$114,BQ28)+COUNTIF($I$69:$I$100,BQ28)-1)</f>
        <v>0</v>
      </c>
      <c r="BS28" s="98"/>
      <c r="BT28" s="98"/>
      <c r="BU28" s="98"/>
      <c r="BV28" s="98"/>
      <c r="BW28" s="98"/>
      <c r="BX28" s="98"/>
      <c r="BY28" s="98"/>
      <c r="BZ28" s="98"/>
      <c r="CA28" s="98"/>
      <c r="CB28" s="98"/>
      <c r="CC28" s="98"/>
      <c r="CD28" s="98"/>
      <c r="CE28" s="98"/>
      <c r="CF28" s="98"/>
      <c r="CG28" s="98"/>
      <c r="CH28" s="98"/>
      <c r="CI28" s="98"/>
      <c r="CJ28" s="98"/>
      <c r="CK28" s="98"/>
      <c r="CL28" s="98"/>
      <c r="CM28" s="98"/>
      <c r="CN28" s="98"/>
      <c r="CO28" s="98"/>
      <c r="CP28" s="98"/>
      <c r="CQ28" s="98"/>
      <c r="CR28" s="98"/>
      <c r="CS28" s="98"/>
      <c r="CT28" s="98"/>
      <c r="CU28" s="98"/>
      <c r="CV28" s="98"/>
      <c r="CW28" s="98"/>
      <c r="CX28" s="98"/>
      <c r="CY28" s="98"/>
      <c r="CZ28" s="98"/>
      <c r="DA28" s="98"/>
      <c r="DB28" s="98"/>
      <c r="DC28" s="98"/>
      <c r="DD28" s="98"/>
      <c r="DE28" s="98"/>
      <c r="DF28" s="98"/>
      <c r="DG28" s="98"/>
      <c r="DH28" s="98"/>
      <c r="DI28" s="98"/>
      <c r="DJ28" s="98"/>
      <c r="DK28" s="98"/>
      <c r="DL28" s="98"/>
      <c r="DM28" s="98"/>
      <c r="DN28" s="98"/>
      <c r="DO28" s="98"/>
      <c r="DP28" s="98"/>
      <c r="DQ28" s="98"/>
      <c r="DR28" s="98"/>
      <c r="DS28" s="98"/>
      <c r="DT28" s="98"/>
      <c r="DU28" s="98"/>
      <c r="DV28" s="98"/>
      <c r="DW28" s="98"/>
      <c r="DX28" s="98"/>
      <c r="DY28" s="98"/>
      <c r="DZ28" s="98"/>
      <c r="EA28" s="98"/>
      <c r="EB28" s="98"/>
      <c r="EC28" s="98"/>
      <c r="ED28" s="98"/>
      <c r="EE28" s="98"/>
      <c r="EF28" s="98"/>
      <c r="EG28" s="98"/>
      <c r="EH28" s="98"/>
      <c r="EI28" s="98"/>
      <c r="EJ28" s="98"/>
      <c r="EK28" s="98"/>
      <c r="EL28" s="98"/>
      <c r="EM28" s="93"/>
      <c r="EN28" s="129"/>
      <c r="EO28" s="330"/>
      <c r="EP28" s="15" t="s">
        <v>243</v>
      </c>
      <c r="EQ28" s="63">
        <v>1</v>
      </c>
      <c r="ER28" s="63">
        <v>2</v>
      </c>
      <c r="ES28" s="63" t="s">
        <v>244</v>
      </c>
      <c r="ET28" s="3" t="str">
        <f>IF(ER28=99,"", CONCATENATE("10.0.",TEXT(((BITWISE_AND('IP Address (no mod)'!$D$20,ES$22)/4)+ER28*8),"0"),".",TEXT((BITWISE_AND('IP Address (no mod)'!$D$21,ES$22)*64)+EO$26*10+EQ28,"0")))</f>
        <v>10.0.16.65</v>
      </c>
      <c r="EU28" s="100">
        <f>IF(ET28="",0,COUNTIF($ET$26:$ET$114,ET28)+COUNTIF($Z$26:$Z$114,ET28)+COUNTIF($AI$26:$AI$114,ET28)+COUNTIF($AR$26:$AR$114,ET28)+COUNTIF($AY$26:$AY$114,ET28)+COUNTIF($BH$26:$BH$114,ET28)+COUNTIF($BQ$26:$BQ$114,ET28)+COUNTIF($BZ$26:$BZ$114,ET28)+COUNTIF($CI$26:$CI$114,ET28)+COUNTIF($CR$26:$CR$114,ET28)+COUNTIF($DA$26:$DA$114,ET28)+COUNTIF($DJ$26:$DJ$114,ET28)+COUNTIF($DS$26:$DS$114,ET28)+COUNTIF($EB$26:$EB$114,ET28)+COUNTIF($EK$26:$EK$114,ET28)+COUNTIF($I$69:$I$100,ET28)-1)</f>
        <v>0</v>
      </c>
      <c r="EV28" s="95"/>
    </row>
    <row r="29" spans="1:152" ht="15.75" customHeight="1">
      <c r="A29" s="249"/>
      <c r="B29" s="98"/>
      <c r="C29" s="55"/>
      <c r="D29" s="330"/>
      <c r="E29" s="63" t="s">
        <v>245</v>
      </c>
      <c r="F29" s="63">
        <v>2</v>
      </c>
      <c r="G29" s="63">
        <v>2</v>
      </c>
      <c r="H29" s="64" t="s">
        <v>456</v>
      </c>
      <c r="I29" s="222" t="str">
        <f>IF(G29=99,"", CONCATENATE("10.0.",TEXT(((BITWISE_AND('IP Address (no mod)'!$D$20,H$22)/4)+G29*8),"0"),".",TEXT((BITWISE_AND('IP Address (no mod)'!$D$21,H$22)*64)+D$26*10+F29,"0")))</f>
        <v>10.0.16.66</v>
      </c>
      <c r="J29" s="178">
        <f>IF(I29="",0,COUNTIF($ET$26:$ET$114,I29)+COUNTIF($Z$26:$Z$114,I29)+COUNTIF($AI$26:$AI$114,I29)+COUNTIF($AR$26:$AR$114,I29)+COUNTIF($AY$26:$AY$114,I29)+COUNTIF($BH$26:$BH$114,I29)+COUNTIF($BQ$26:$BQ$114,I29)+COUNTIF($BZ$26:$BZ$114,I29)+COUNTIF($CI$26:$CI$114,I29)+COUNTIF($CR$26:$CR$114,I29)+COUNTIF($DA$26:$DA$114,I29)+COUNTIF($DJ$26:$DJ$114,I29)+COUNTIF($DS$26:$DS$114,I29)+COUNTIF($EB$26:$EB$114,I29)+COUNTIF($EK$26:$EK$114,I29)+COUNTIF($I$26:$I$100,I29)+COUNTIF($Q$26:$Q$114,I29)-1)</f>
        <v>1</v>
      </c>
      <c r="K29" s="219"/>
      <c r="L29" s="330"/>
      <c r="M29" s="15" t="s">
        <v>245</v>
      </c>
      <c r="N29" s="1">
        <v>2</v>
      </c>
      <c r="O29" s="1">
        <v>1</v>
      </c>
      <c r="P29" s="64" t="s">
        <v>457</v>
      </c>
      <c r="Q29" s="222" t="str">
        <f>IF(O29=99,"", CONCATENATE("10.0.",TEXT(((BITWISE_AND('IP Address (no mod)'!$D$20,H$22)/4)+O29*8),"0"),".",TEXT((BITWISE_AND('IP Address (no mod)'!$D$21,H$22)*64)+L$26*10+N29,"0")))</f>
        <v>10.0.8.106</v>
      </c>
      <c r="R29" s="178">
        <f>IF(Q29="",0,COUNTIF($ET$26:$ET$114,Q29)+COUNTIF($Z$26:$Z$114,Q29)+COUNTIF($AI$26:$AI$114,Q29)+COUNTIF($AR$26:$AR$114,Q29)+COUNTIF($AY$26:$AY$114,Q29)+COUNTIF($BH$26:$BH$114,Q29)+COUNTIF($BQ$26:$BQ$114,Q29)+COUNTIF($BZ$26:$BZ$114,Q29)+COUNTIF($CI$26:$CI$114,Q29)+COUNTIF($CR$26:$CR$114,Q29)+COUNTIF($DA$26:$DA$114,Q29)+COUNTIF($DJ$26:$DJ$114,Q29)+COUNTIF($DS$26:$DS$114,Q29)+COUNTIF($EB$26:$EB$114,Q29)+COUNTIF($EK$26:$EK$114,Q29)+COUNTIF($I$26:$I$100,Q29)+COUNTIF($Q$26:$Q$114,Q29)-1)</f>
        <v>1</v>
      </c>
      <c r="S29" s="95"/>
      <c r="T29" s="219"/>
      <c r="U29" s="330"/>
      <c r="V29" s="63" t="s">
        <v>245</v>
      </c>
      <c r="W29" s="63">
        <v>2</v>
      </c>
      <c r="X29" s="63">
        <v>2</v>
      </c>
      <c r="Y29" s="64" t="s">
        <v>246</v>
      </c>
      <c r="Z29" s="3" t="str">
        <f>IF(X29=99,"", CONCATENATE("10.0.",TEXT(((BITWISE_AND('IP Address (no mod)'!$D$20,Y$22)/4)+X29*8),"0"),".",TEXT((BITWISE_AND('IP Address (no mod)'!$D$21,Y$22)*64)+U$26*10+W29,"0")))</f>
        <v>10.0.16.130</v>
      </c>
      <c r="AA29" s="100">
        <f>IF(Z29="",0,COUNTIF($ET$26:$ET$114,Z29)+COUNTIF($Z$26:$Z$114,Z29)+COUNTIF($AI$26:$AI$114,Z29)+COUNTIF($AR$26:$AR$114,Z29)+COUNTIF($AY$26:$AY$114,Z29)+COUNTIF($BH$26:$BH$114,Z29)+COUNTIF($BQ$26:$BQ$114,Z29)+COUNTIF($BZ$26:$BZ$114,Z29)+COUNTIF($CI$26:$CI$114,Z29)+COUNTIF($CR$26:$CR$114,Z29)+COUNTIF($DA$26:$DA$114,Z29)+COUNTIF($DJ$26:$DJ$114,Z29)+COUNTIF($DS$26:$DS$114,Z29)+COUNTIF($EB$26:$EB$114,Z29)+COUNTIF($EK$26:$EK$114,Z29)+COUNTIF($I$69:$I$100,Z29)-1)</f>
        <v>0</v>
      </c>
      <c r="AB29" s="98"/>
      <c r="AC29" s="98"/>
      <c r="AD29" s="98"/>
      <c r="AE29" s="98"/>
      <c r="AF29" s="98"/>
      <c r="AG29" s="98"/>
      <c r="AH29" s="98"/>
      <c r="AI29" s="98"/>
      <c r="AJ29" s="98"/>
      <c r="AK29" s="98"/>
      <c r="AL29" s="55"/>
      <c r="AM29" s="330"/>
      <c r="AN29" s="63" t="s">
        <v>245</v>
      </c>
      <c r="AO29" s="63">
        <v>2</v>
      </c>
      <c r="AP29" s="63">
        <v>2</v>
      </c>
      <c r="AQ29" s="64" t="s">
        <v>246</v>
      </c>
      <c r="AR29" s="3" t="str">
        <f>IF(AP29=99,"", CONCATENATE("10.0.",TEXT(((BITWISE_AND('IP Address (no mod)'!$D$20,AQ$22)/4)+AP29*8),"0"),".",TEXT((BITWISE_AND('IP Address (no mod)'!$D$21,AQ$22)*64)+AM$26*10+AO29,"0")))</f>
        <v>10.0.17.2</v>
      </c>
      <c r="AS29" s="100">
        <f>IF(AR29="",0,COUNTIF($ET$26:$ET$114,AR29)+COUNTIF($Z$26:$Z$114,AR29)+COUNTIF($AI$26:$AI$114,AR29)+COUNTIF($AR$26:$AR$114,AR29)+COUNTIF($AY$26:$AY$114,AR29)+COUNTIF($BH$26:$BH$114,AR29)+COUNTIF($BQ$26:$BQ$114,AR29)+COUNTIF($BZ$26:$BZ$114,AR29)+COUNTIF($CI$26:$CI$114,AR29)+COUNTIF($CR$26:$CR$114,AR29)+COUNTIF($DA$26:$DA$114,AR29)+COUNTIF($DJ$26:$DJ$114,AR29)+COUNTIF($DS$26:$DS$114,AR29)+COUNTIF($EB$26:$EB$114,AR29)+COUNTIF($EK$26:$EK$114,AR29)+COUNTIF($I$69:$I$100,AR29)-1)</f>
        <v>0</v>
      </c>
      <c r="AT29" s="330"/>
      <c r="AU29" s="63" t="s">
        <v>245</v>
      </c>
      <c r="AV29" s="1">
        <v>2</v>
      </c>
      <c r="AW29" s="63">
        <v>2</v>
      </c>
      <c r="AX29" s="64" t="s">
        <v>247</v>
      </c>
      <c r="AY29" s="3" t="str">
        <f>IF(AW29=99,"", CONCATENATE("10.0.",TEXT(((BITWISE_AND('IP Address (no mod)'!$D$20,AQ$22)/4)+AW29*8),"0"),".",TEXT((BITWISE_AND('IP Address (no mod)'!$D$21,AQ$22)*64)+AT$26*10+AV29,"0")))</f>
        <v>10.0.17.42</v>
      </c>
      <c r="AZ29" s="100">
        <f>IF(AY29="",0,COUNTIF($ET$26:$ET$114,AY29)+COUNTIF($Z$26:$Z$114,AY29)+COUNTIF($AI$26:$AI$114,AY29)+COUNTIF($AR$26:$AR$114,AY29)+COUNTIF($AY$26:$AY$114,AY29)+COUNTIF($BH$26:$BH$114,AY29)+COUNTIF($BQ$26:$BQ$114,AY29)+COUNTIF($BZ$26:$BZ$114,AY29)+COUNTIF($CI$26:$CI$114,AY29)+COUNTIF($CR$26:$CR$114,AY29)+COUNTIF($DA$26:$DA$114,AY29)+COUNTIF($DJ$26:$DJ$114,AY29)+COUNTIF($DS$26:$DS$114,AY29)+COUNTIF($EB$26:$EB$114,AY29)+COUNTIF($EK$26:$EK$114,AY29)+COUNTIF($I$69:$I$100,AY29)-1)</f>
        <v>0</v>
      </c>
      <c r="BA29" s="98"/>
      <c r="BB29" s="55"/>
      <c r="BC29" s="330"/>
      <c r="BD29" s="63" t="s">
        <v>245</v>
      </c>
      <c r="BE29" s="63">
        <v>2</v>
      </c>
      <c r="BF29" s="63">
        <v>2</v>
      </c>
      <c r="BG29" s="64" t="s">
        <v>246</v>
      </c>
      <c r="BH29" s="3" t="str">
        <f>IF(BF29=99,"", CONCATENATE("10.0.",TEXT(((BITWISE_AND('IP Address (no mod)'!$D$20,BG$22)/4)+BF29*8),"0"),".",TEXT((BITWISE_AND('IP Address (no mod)'!$D$21,BG$22)*64)+BC$26*10+BE29,"0")))</f>
        <v>10.0.17.66</v>
      </c>
      <c r="BI29" s="100">
        <f>IF(BH29="",0,COUNTIF($ET$26:$ET$114,BH29)+COUNTIF($Z$26:$Z$114,BH29)+COUNTIF($AI$26:$AI$114,BH29)+COUNTIF($AR$26:$AR$114,BH29)+COUNTIF($AY$26:$AY$114,BH29)+COUNTIF($BH$26:$BH$114,BH29)+COUNTIF($BQ$26:$BQ$114,BH29)+COUNTIF($BZ$26:$BZ$114,BH29)+COUNTIF($CI$26:$CI$114,BH29)+COUNTIF($CR$26:$CR$114,BH29)+COUNTIF($DA$26:$DA$114,BH29)+COUNTIF($DJ$26:$DJ$114,BH29)+COUNTIF($DS$26:$DS$114,BH29)+COUNTIF($EB$26:$EB$114,BH29)+COUNTIF($EK$26:$EK$114,BH29)+COUNTIF($I$69:$I$100,BH29)-1)</f>
        <v>0</v>
      </c>
      <c r="BJ29" s="98"/>
      <c r="BK29" s="55"/>
      <c r="BL29" s="330"/>
      <c r="BM29" s="63" t="s">
        <v>245</v>
      </c>
      <c r="BN29" s="63">
        <v>2</v>
      </c>
      <c r="BO29" s="63">
        <v>2</v>
      </c>
      <c r="BP29" s="64" t="s">
        <v>246</v>
      </c>
      <c r="BQ29" s="3" t="str">
        <f>IF(BO29=99,"", CONCATENATE("10.0.",TEXT(((BITWISE_AND('IP Address (no mod)'!$D$20,BP$22)/4)+BO29*8),"0"),".",TEXT((BITWISE_AND('IP Address (no mod)'!$D$21,BP$22)*64)+BL$26*10+BN29,"0")))</f>
        <v>10.0.17.130</v>
      </c>
      <c r="BR29" s="100">
        <f>IF(BQ29="",0,COUNTIF($ET$26:$ET$114,BQ29)+COUNTIF($Z$26:$Z$114,BQ29)+COUNTIF($AI$26:$AI$114,BQ29)+COUNTIF($AR$26:$AR$114,BQ29)+COUNTIF($AY$26:$AY$114,BQ29)+COUNTIF($BH$26:$BH$114,BQ29)+COUNTIF($BQ$26:$BQ$114,BQ29)+COUNTIF($BZ$26:$BZ$114,BQ29)+COUNTIF($CI$26:$CI$114,BQ29)+COUNTIF($CR$26:$CR$114,BQ29)+COUNTIF($DA$26:$DA$114,BQ29)+COUNTIF($DJ$26:$DJ$114,BQ29)+COUNTIF($DS$26:$DS$114,BQ29)+COUNTIF($EB$26:$EB$114,BQ29)+COUNTIF($EK$26:$EK$114,BQ29)+COUNTIF($I$69:$I$100,BQ29)-1)</f>
        <v>0</v>
      </c>
      <c r="BS29" s="98"/>
      <c r="BT29" s="98"/>
      <c r="BU29" s="98"/>
      <c r="BV29" s="98"/>
      <c r="BW29" s="98"/>
      <c r="BX29" s="98"/>
      <c r="BY29" s="98"/>
      <c r="BZ29" s="98"/>
      <c r="CA29" s="98"/>
      <c r="CB29" s="98"/>
      <c r="CC29" s="98"/>
      <c r="CD29" s="98"/>
      <c r="CE29" s="98"/>
      <c r="CF29" s="98"/>
      <c r="CG29" s="98"/>
      <c r="CH29" s="98"/>
      <c r="CI29" s="98"/>
      <c r="CJ29" s="98"/>
      <c r="CK29" s="98"/>
      <c r="CL29" s="98"/>
      <c r="CM29" s="98"/>
      <c r="CN29" s="98"/>
      <c r="CO29" s="98"/>
      <c r="CP29" s="98"/>
      <c r="CQ29" s="98"/>
      <c r="CR29" s="98"/>
      <c r="CS29" s="98"/>
      <c r="CT29" s="98"/>
      <c r="CU29" s="98"/>
      <c r="CV29" s="98"/>
      <c r="CW29" s="98"/>
      <c r="CX29" s="98"/>
      <c r="CY29" s="98"/>
      <c r="CZ29" s="98"/>
      <c r="DA29" s="98"/>
      <c r="DB29" s="98"/>
      <c r="DC29" s="98"/>
      <c r="DD29" s="98"/>
      <c r="DE29" s="98"/>
      <c r="DF29" s="98"/>
      <c r="DG29" s="98"/>
      <c r="DH29" s="98"/>
      <c r="DI29" s="98"/>
      <c r="DJ29" s="98"/>
      <c r="DK29" s="98"/>
      <c r="DL29" s="98"/>
      <c r="DM29" s="98"/>
      <c r="DN29" s="98"/>
      <c r="DO29" s="98"/>
      <c r="DP29" s="98"/>
      <c r="DQ29" s="98"/>
      <c r="DR29" s="98"/>
      <c r="DS29" s="98"/>
      <c r="DT29" s="98"/>
      <c r="DU29" s="98"/>
      <c r="DV29" s="98"/>
      <c r="DW29" s="98"/>
      <c r="DX29" s="98"/>
      <c r="DY29" s="98"/>
      <c r="DZ29" s="98"/>
      <c r="EA29" s="98"/>
      <c r="EB29" s="98"/>
      <c r="EC29" s="98"/>
      <c r="ED29" s="98"/>
      <c r="EE29" s="98"/>
      <c r="EF29" s="98"/>
      <c r="EG29" s="98"/>
      <c r="EH29" s="98"/>
      <c r="EI29" s="98"/>
      <c r="EJ29" s="98"/>
      <c r="EK29" s="98"/>
      <c r="EL29" s="98"/>
      <c r="EM29" s="93"/>
      <c r="EN29" s="129"/>
      <c r="EO29" s="330"/>
      <c r="EP29" s="15" t="s">
        <v>245</v>
      </c>
      <c r="EQ29" s="63">
        <v>2</v>
      </c>
      <c r="ER29" s="63">
        <v>2</v>
      </c>
      <c r="ES29" s="63" t="s">
        <v>246</v>
      </c>
      <c r="ET29" s="3" t="str">
        <f>IF(ER29=99,"", CONCATENATE("10.0.",TEXT(((BITWISE_AND('IP Address (no mod)'!$D$20,ES$22)/4)+ER29*8),"0"),".",TEXT((BITWISE_AND('IP Address (no mod)'!$D$21,ES$22)*64)+EO$26*10+EQ29,"0")))</f>
        <v>10.0.16.66</v>
      </c>
      <c r="EU29" s="100">
        <f>IF(ET29="",0,COUNTIF($ET$26:$ET$114,ET29)+COUNTIF($Z$26:$Z$114,ET29)+COUNTIF($AI$26:$AI$114,ET29)+COUNTIF($AR$26:$AR$114,ET29)+COUNTIF($AY$26:$AY$114,ET29)+COUNTIF($BH$26:$BH$114,ET29)+COUNTIF($BQ$26:$BQ$114,ET29)+COUNTIF($BZ$26:$BZ$114,ET29)+COUNTIF($CI$26:$CI$114,ET29)+COUNTIF($CR$26:$CR$114,ET29)+COUNTIF($DA$26:$DA$114,ET29)+COUNTIF($DJ$26:$DJ$114,ET29)+COUNTIF($DS$26:$DS$114,ET29)+COUNTIF($EB$26:$EB$114,ET29)+COUNTIF($EK$26:$EK$114,ET29)+COUNTIF($I$69:$I$100,ET29)-1)</f>
        <v>0</v>
      </c>
      <c r="EV29" s="95"/>
    </row>
    <row r="30" spans="1:152">
      <c r="A30" s="342"/>
      <c r="B30" s="98"/>
      <c r="C30" s="55"/>
      <c r="D30" s="330"/>
      <c r="E30" s="63" t="s">
        <v>248</v>
      </c>
      <c r="F30" s="63">
        <v>3</v>
      </c>
      <c r="G30" s="63">
        <v>3</v>
      </c>
      <c r="H30" s="64" t="s">
        <v>458</v>
      </c>
      <c r="I30" s="222" t="str">
        <f>IF(G30=99,"", CONCATENATE("10.0.",TEXT(((BITWISE_AND('IP Address (no mod)'!$D$20,H$22)/4)+G30*8),"0"),".",TEXT((BITWISE_AND('IP Address (no mod)'!$D$21,H$22)*64)+D$26*10+F30,"0")))</f>
        <v>10.0.24.67</v>
      </c>
      <c r="J30" s="178">
        <f>IF(I30="",0,COUNTIF($ET$26:$ET$114,I30)+COUNTIF($Z$26:$Z$114,I30)+COUNTIF($AI$26:$AI$114,I30)+COUNTIF($AR$26:$AR$114,I30)+COUNTIF($AY$26:$AY$114,I30)+COUNTIF($BH$26:$BH$114,I30)+COUNTIF($BQ$26:$BQ$114,I30)+COUNTIF($BZ$26:$BZ$114,I30)+COUNTIF($CI$26:$CI$114,I30)+COUNTIF($CR$26:$CR$114,I30)+COUNTIF($DA$26:$DA$114,I30)+COUNTIF($DJ$26:$DJ$114,I30)+COUNTIF($DS$26:$DS$114,I30)+COUNTIF($EB$26:$EB$114,I30)+COUNTIF($EK$26:$EK$114,I30)+COUNTIF($I$26:$I$100,I30)+COUNTIF($Q$26:$Q$114,I30)-1)</f>
        <v>1</v>
      </c>
      <c r="K30" s="219"/>
      <c r="L30" s="330"/>
      <c r="M30" s="15" t="s">
        <v>248</v>
      </c>
      <c r="N30" s="1">
        <v>3</v>
      </c>
      <c r="O30" s="1">
        <v>0</v>
      </c>
      <c r="P30" s="64"/>
      <c r="Q30" s="222"/>
      <c r="R30" s="178">
        <f>IF(Q30="",0,COUNTIF($ET$26:$ET$114,Q30)+COUNTIF($Z$26:$Z$114,Q30)+COUNTIF($AI$26:$AI$114,Q30)+COUNTIF($AR$26:$AR$114,Q30)+COUNTIF($AY$26:$AY$114,Q30)+COUNTIF($BH$26:$BH$114,Q30)+COUNTIF($BQ$26:$BQ$114,Q30)+COUNTIF($BZ$26:$BZ$114,Q30)+COUNTIF($CI$26:$CI$114,Q30)+COUNTIF($CR$26:$CR$114,Q30)+COUNTIF($DA$26:$DA$114,Q30)+COUNTIF($DJ$26:$DJ$114,Q30)+COUNTIF($DS$26:$DS$114,Q30)+COUNTIF($EB$26:$EB$114,Q30)+COUNTIF($EK$26:$EK$114,Q30)+COUNTIF($I$26:$I$100,Q30)+COUNTIF($Q$26:$Q$114,Q30)-1)</f>
        <v>0</v>
      </c>
      <c r="S30" s="95"/>
      <c r="T30" s="219"/>
      <c r="U30" s="330"/>
      <c r="V30" s="63" t="s">
        <v>248</v>
      </c>
      <c r="W30" s="63">
        <v>3</v>
      </c>
      <c r="X30" s="63">
        <v>99</v>
      </c>
      <c r="Y30" s="64"/>
      <c r="Z30" s="3" t="str">
        <f>IF(X30=99,"", CONCATENATE("10.0.",TEXT(((BITWISE_AND('IP Address (no mod)'!$D$20,Y$22)/4)+X30*8),"0"),".",TEXT((BITWISE_AND('IP Address (no mod)'!$D$21,Y$22)*64)+U$26*10+W30,"0")))</f>
        <v/>
      </c>
      <c r="AA30" s="100">
        <f>IF(Z30="",0,COUNTIF($ET$26:$ET$114,Z30)+COUNTIF($Z$26:$Z$114,Z30)+COUNTIF($AI$26:$AI$114,Z30)+COUNTIF($AR$26:$AR$114,Z30)+COUNTIF($AY$26:$AY$114,Z30)+COUNTIF($BH$26:$BH$114,Z30)+COUNTIF($BQ$26:$BQ$114,Z30)+COUNTIF($BZ$26:$BZ$114,Z30)+COUNTIF($CI$26:$CI$114,Z30)+COUNTIF($CR$26:$CR$114,Z30)+COUNTIF($DA$26:$DA$114,Z30)+COUNTIF($DJ$26:$DJ$114,Z30)+COUNTIF($DS$26:$DS$114,Z30)+COUNTIF($EB$26:$EB$114,Z30)+COUNTIF($EK$26:$EK$114,Z30)+COUNTIF($I$69:$I$100,Z30)-1)</f>
        <v>0</v>
      </c>
      <c r="AB30" s="98"/>
      <c r="AC30" s="98"/>
      <c r="AD30" s="98"/>
      <c r="AE30" s="98"/>
      <c r="AF30" s="98"/>
      <c r="AG30" s="98"/>
      <c r="AH30" s="98"/>
      <c r="AI30" s="98"/>
      <c r="AJ30" s="98"/>
      <c r="AK30" s="98"/>
      <c r="AL30" s="55"/>
      <c r="AM30" s="330"/>
      <c r="AN30" s="63" t="s">
        <v>248</v>
      </c>
      <c r="AO30" s="63">
        <v>3</v>
      </c>
      <c r="AP30" s="63">
        <v>3</v>
      </c>
      <c r="AQ30" s="64" t="s">
        <v>249</v>
      </c>
      <c r="AR30" s="3" t="str">
        <f>IF(AP30=99,"", CONCATENATE("10.0.",TEXT(((BITWISE_AND('IP Address (no mod)'!$D$20,AQ$22)/4)+AP30*8),"0"),".",TEXT((BITWISE_AND('IP Address (no mod)'!$D$21,AQ$22)*64)+AM$26*10+AO30,"0")))</f>
        <v>10.0.25.3</v>
      </c>
      <c r="AS30" s="100">
        <f>IF(AR30="",0,COUNTIF($ET$26:$ET$114,AR30)+COUNTIF($Z$26:$Z$114,AR30)+COUNTIF($AI$26:$AI$114,AR30)+COUNTIF($AR$26:$AR$114,AR30)+COUNTIF($AY$26:$AY$114,AR30)+COUNTIF($BH$26:$BH$114,AR30)+COUNTIF($BQ$26:$BQ$114,AR30)+COUNTIF($BZ$26:$BZ$114,AR30)+COUNTIF($CI$26:$CI$114,AR30)+COUNTIF($CR$26:$CR$114,AR30)+COUNTIF($DA$26:$DA$114,AR30)+COUNTIF($DJ$26:$DJ$114,AR30)+COUNTIF($DS$26:$DS$114,AR30)+COUNTIF($EB$26:$EB$114,AR30)+COUNTIF($EK$26:$EK$114,AR30)+COUNTIF($I$69:$I$100,AR30)-1)</f>
        <v>0</v>
      </c>
      <c r="AT30" s="330"/>
      <c r="AU30" s="63" t="s">
        <v>248</v>
      </c>
      <c r="AV30" s="1">
        <v>3</v>
      </c>
      <c r="AW30" s="63">
        <v>3</v>
      </c>
      <c r="AX30" s="64" t="s">
        <v>250</v>
      </c>
      <c r="AY30" s="3" t="str">
        <f>IF(AW30=99,"", CONCATENATE("10.0.",TEXT(((BITWISE_AND('IP Address (no mod)'!$D$20,AQ$22)/4)+AW30*8),"0"),".",TEXT((BITWISE_AND('IP Address (no mod)'!$D$21,AQ$22)*64)+AT$26*10+AV30,"0")))</f>
        <v>10.0.25.43</v>
      </c>
      <c r="AZ30" s="100">
        <f>IF(AY30="",0,COUNTIF($ET$26:$ET$114,AY30)+COUNTIF($Z$26:$Z$114,AY30)+COUNTIF($AI$26:$AI$114,AY30)+COUNTIF($AR$26:$AR$114,AY30)+COUNTIF($AY$26:$AY$114,AY30)+COUNTIF($BH$26:$BH$114,AY30)+COUNTIF($BQ$26:$BQ$114,AY30)+COUNTIF($BZ$26:$BZ$114,AY30)+COUNTIF($CI$26:$CI$114,AY30)+COUNTIF($CR$26:$CR$114,AY30)+COUNTIF($DA$26:$DA$114,AY30)+COUNTIF($DJ$26:$DJ$114,AY30)+COUNTIF($DS$26:$DS$114,AY30)+COUNTIF($EB$26:$EB$114,AY30)+COUNTIF($EK$26:$EK$114,AY30)+COUNTIF($I$69:$I$100,AY30)-1)</f>
        <v>0</v>
      </c>
      <c r="BA30" s="98"/>
      <c r="BB30" s="55"/>
      <c r="BC30" s="330"/>
      <c r="BD30" s="63" t="s">
        <v>248</v>
      </c>
      <c r="BE30" s="63">
        <v>3</v>
      </c>
      <c r="BF30" s="63">
        <v>99</v>
      </c>
      <c r="BG30" s="64"/>
      <c r="BH30" s="3" t="str">
        <f>IF(BF30=99,"", CONCATENATE("10.0.",TEXT(((BITWISE_AND('IP Address (no mod)'!$D$20,BG$22)/4)+BF30*8),"0"),".",TEXT((BITWISE_AND('IP Address (no mod)'!$D$21,BG$22)*64)+BC$26*10+BE30,"0")))</f>
        <v/>
      </c>
      <c r="BI30" s="100">
        <f>IF(BH30="",0,COUNTIF($ET$26:$ET$114,BH30)+COUNTIF($Z$26:$Z$114,BH30)+COUNTIF($AI$26:$AI$114,BH30)+COUNTIF($AR$26:$AR$114,BH30)+COUNTIF($AY$26:$AY$114,BH30)+COUNTIF($BH$26:$BH$114,BH30)+COUNTIF($BQ$26:$BQ$114,BH30)+COUNTIF($BZ$26:$BZ$114,BH30)+COUNTIF($CI$26:$CI$114,BH30)+COUNTIF($CR$26:$CR$114,BH30)+COUNTIF($DA$26:$DA$114,BH30)+COUNTIF($DJ$26:$DJ$114,BH30)+COUNTIF($DS$26:$DS$114,BH30)+COUNTIF($EB$26:$EB$114,BH30)+COUNTIF($EK$26:$EK$114,BH30)+COUNTIF($I$69:$I$100,BH30)-1)</f>
        <v>0</v>
      </c>
      <c r="BJ30" s="98"/>
      <c r="BK30" s="55"/>
      <c r="BL30" s="330"/>
      <c r="BM30" s="63" t="s">
        <v>248</v>
      </c>
      <c r="BN30" s="63">
        <v>3</v>
      </c>
      <c r="BO30" s="63">
        <v>99</v>
      </c>
      <c r="BP30" s="64"/>
      <c r="BQ30" s="3" t="str">
        <f>IF(BO30=99,"", CONCATENATE("10.0.",TEXT(((BITWISE_AND('IP Address (no mod)'!$D$20,BP$22)/4)+BO30*8),"0"),".",TEXT((BITWISE_AND('IP Address (no mod)'!$D$21,BP$22)*64)+BL$26*10+BN30,"0")))</f>
        <v/>
      </c>
      <c r="BR30" s="100">
        <f>IF(BQ30="",0,COUNTIF($ET$26:$ET$114,BQ30)+COUNTIF($Z$26:$Z$114,BQ30)+COUNTIF($AI$26:$AI$114,BQ30)+COUNTIF($AR$26:$AR$114,BQ30)+COUNTIF($AY$26:$AY$114,BQ30)+COUNTIF($BH$26:$BH$114,BQ30)+COUNTIF($BQ$26:$BQ$114,BQ30)+COUNTIF($BZ$26:$BZ$114,BQ30)+COUNTIF($CI$26:$CI$114,BQ30)+COUNTIF($CR$26:$CR$114,BQ30)+COUNTIF($DA$26:$DA$114,BQ30)+COUNTIF($DJ$26:$DJ$114,BQ30)+COUNTIF($DS$26:$DS$114,BQ30)+COUNTIF($EB$26:$EB$114,BQ30)+COUNTIF($EK$26:$EK$114,BQ30)+COUNTIF($I$69:$I$100,BQ30)-1)</f>
        <v>0</v>
      </c>
      <c r="BS30" s="98"/>
      <c r="BT30" s="98"/>
      <c r="BU30" s="98"/>
      <c r="BV30" s="98"/>
      <c r="BW30" s="98"/>
      <c r="BX30" s="98"/>
      <c r="BY30" s="98"/>
      <c r="BZ30" s="98"/>
      <c r="CA30" s="98"/>
      <c r="CB30" s="98"/>
      <c r="CC30" s="98"/>
      <c r="CD30" s="98"/>
      <c r="CE30" s="98"/>
      <c r="CF30" s="98"/>
      <c r="CG30" s="98"/>
      <c r="CH30" s="98"/>
      <c r="CI30" s="98"/>
      <c r="CJ30" s="98"/>
      <c r="CK30" s="98"/>
      <c r="CL30" s="98"/>
      <c r="CM30" s="98"/>
      <c r="CN30" s="98"/>
      <c r="CO30" s="98"/>
      <c r="CP30" s="98"/>
      <c r="CQ30" s="98"/>
      <c r="CR30" s="98"/>
      <c r="CS30" s="98"/>
      <c r="CT30" s="98"/>
      <c r="CU30" s="98"/>
      <c r="CV30" s="98"/>
      <c r="CW30" s="98"/>
      <c r="CX30" s="98"/>
      <c r="CY30" s="98"/>
      <c r="CZ30" s="98"/>
      <c r="DA30" s="98"/>
      <c r="DB30" s="98"/>
      <c r="DC30" s="98"/>
      <c r="DD30" s="98"/>
      <c r="DE30" s="98"/>
      <c r="DF30" s="98"/>
      <c r="DG30" s="98"/>
      <c r="DH30" s="98"/>
      <c r="DI30" s="98"/>
      <c r="DJ30" s="98"/>
      <c r="DK30" s="98"/>
      <c r="DL30" s="98"/>
      <c r="DM30" s="98"/>
      <c r="DN30" s="98"/>
      <c r="DO30" s="98"/>
      <c r="DP30" s="98"/>
      <c r="DQ30" s="98"/>
      <c r="DR30" s="98"/>
      <c r="DS30" s="98"/>
      <c r="DT30" s="98"/>
      <c r="DU30" s="98"/>
      <c r="DV30" s="98"/>
      <c r="DW30" s="98"/>
      <c r="DX30" s="98"/>
      <c r="DY30" s="98"/>
      <c r="DZ30" s="98"/>
      <c r="EA30" s="98"/>
      <c r="EB30" s="98"/>
      <c r="EC30" s="98"/>
      <c r="ED30" s="98"/>
      <c r="EE30" s="98"/>
      <c r="EF30" s="98"/>
      <c r="EG30" s="98"/>
      <c r="EH30" s="98"/>
      <c r="EI30" s="98"/>
      <c r="EJ30" s="98"/>
      <c r="EK30" s="98"/>
      <c r="EL30" s="98"/>
      <c r="EM30" s="93"/>
      <c r="EN30" s="129"/>
      <c r="EO30" s="330"/>
      <c r="EP30" s="15" t="s">
        <v>248</v>
      </c>
      <c r="EQ30" s="63">
        <v>3</v>
      </c>
      <c r="ER30" s="63">
        <v>3</v>
      </c>
      <c r="ES30" s="63" t="s">
        <v>249</v>
      </c>
      <c r="ET30" s="3" t="str">
        <f>IF(ER30=99,"", CONCATENATE("10.0.",TEXT(((BITWISE_AND('IP Address (no mod)'!$D$20,ES$22)/4)+ER30*8),"0"),".",TEXT((BITWISE_AND('IP Address (no mod)'!$D$21,ES$22)*64)+EO$26*10+EQ30,"0")))</f>
        <v>10.0.24.67</v>
      </c>
      <c r="EU30" s="100">
        <f>IF(ET30="",0,COUNTIF($ET$26:$ET$114,ET30)+COUNTIF($Z$26:$Z$114,ET30)+COUNTIF($AI$26:$AI$114,ET30)+COUNTIF($AR$26:$AR$114,ET30)+COUNTIF($AY$26:$AY$114,ET30)+COUNTIF($BH$26:$BH$114,ET30)+COUNTIF($BQ$26:$BQ$114,ET30)+COUNTIF($BZ$26:$BZ$114,ET30)+COUNTIF($CI$26:$CI$114,ET30)+COUNTIF($CR$26:$CR$114,ET30)+COUNTIF($DA$26:$DA$114,ET30)+COUNTIF($DJ$26:$DJ$114,ET30)+COUNTIF($DS$26:$DS$114,ET30)+COUNTIF($EB$26:$EB$114,ET30)+COUNTIF($EK$26:$EK$114,ET30)+COUNTIF($I$69:$I$100,ET30)-1)</f>
        <v>0</v>
      </c>
      <c r="EV30" s="95"/>
    </row>
    <row r="31" spans="1:152">
      <c r="A31" s="342"/>
      <c r="B31" s="98"/>
      <c r="C31" s="55"/>
      <c r="D31" s="330"/>
      <c r="E31" s="63" t="s">
        <v>251</v>
      </c>
      <c r="F31" s="63">
        <v>4</v>
      </c>
      <c r="G31" s="63">
        <v>3</v>
      </c>
      <c r="H31" s="64" t="s">
        <v>459</v>
      </c>
      <c r="I31" s="222" t="str">
        <f>IF(G31=99,"", CONCATENATE("10.0.",TEXT(((BITWISE_AND('IP Address (no mod)'!$D$20,H$22)/4)+G31*8),"0"),".",TEXT((BITWISE_AND('IP Address (no mod)'!$D$21,H$22)*64)+D$26*10+F31,"0")))</f>
        <v>10.0.24.68</v>
      </c>
      <c r="J31" s="178">
        <f>IF(I31="",0,COUNTIF($ET$26:$ET$114,I31)+COUNTIF($Z$26:$Z$114,I31)+COUNTIF($AI$26:$AI$114,I31)+COUNTIF($AR$26:$AR$114,I31)+COUNTIF($AY$26:$AY$114,I31)+COUNTIF($BH$26:$BH$114,I31)+COUNTIF($BQ$26:$BQ$114,I31)+COUNTIF($BZ$26:$BZ$114,I31)+COUNTIF($CI$26:$CI$114,I31)+COUNTIF($CR$26:$CR$114,I31)+COUNTIF($DA$26:$DA$114,I31)+COUNTIF($DJ$26:$DJ$114,I31)+COUNTIF($DS$26:$DS$114,I31)+COUNTIF($EB$26:$EB$114,I31)+COUNTIF($EK$26:$EK$114,I31)+COUNTIF($I$26:$I$100,I31)+COUNTIF($Q$26:$Q$114,I31)-1)</f>
        <v>1</v>
      </c>
      <c r="K31" s="219"/>
      <c r="L31" s="330"/>
      <c r="M31" s="15" t="s">
        <v>251</v>
      </c>
      <c r="N31" s="1">
        <v>4</v>
      </c>
      <c r="O31" s="1">
        <v>1</v>
      </c>
      <c r="P31" s="64" t="s">
        <v>460</v>
      </c>
      <c r="Q31" s="222" t="str">
        <f>IF(O31=99,"", CONCATENATE("10.0.",TEXT(((BITWISE_AND('IP Address (no mod)'!$D$20,H$22)/4)+O31*8),"0"),".",TEXT((BITWISE_AND('IP Address (no mod)'!$D$21,H$22)*64)+L$26*10+N31,"0")))</f>
        <v>10.0.8.108</v>
      </c>
      <c r="R31" s="178">
        <f>IF(Q31="",0,COUNTIF($ET$26:$ET$114,Q31)+COUNTIF($Z$26:$Z$114,Q31)+COUNTIF($AI$26:$AI$114,Q31)+COUNTIF($AR$26:$AR$114,Q31)+COUNTIF($AY$26:$AY$114,Q31)+COUNTIF($BH$26:$BH$114,Q31)+COUNTIF($BQ$26:$BQ$114,Q31)+COUNTIF($BZ$26:$BZ$114,Q31)+COUNTIF($CI$26:$CI$114,Q31)+COUNTIF($CR$26:$CR$114,Q31)+COUNTIF($DA$26:$DA$114,Q31)+COUNTIF($DJ$26:$DJ$114,Q31)+COUNTIF($DS$26:$DS$114,Q31)+COUNTIF($EB$26:$EB$114,Q31)+COUNTIF($EK$26:$EK$114,Q31)+COUNTIF($I$26:$I$100,Q31)+COUNTIF($Q$26:$Q$114,Q31)-1)</f>
        <v>0</v>
      </c>
      <c r="S31" s="95"/>
      <c r="T31" s="219"/>
      <c r="U31" s="330"/>
      <c r="V31" s="63" t="s">
        <v>251</v>
      </c>
      <c r="W31" s="63">
        <v>4</v>
      </c>
      <c r="X31" s="63">
        <v>3</v>
      </c>
      <c r="Y31" s="64" t="s">
        <v>252</v>
      </c>
      <c r="Z31" s="3" t="str">
        <f>IF(X31=99,"", CONCATENATE("10.0.",TEXT(((BITWISE_AND('IP Address (no mod)'!$D$20,Y$22)/4)+X31*8),"0"),".",TEXT((BITWISE_AND('IP Address (no mod)'!$D$21,Y$22)*64)+U$26*10+W31,"0")))</f>
        <v>10.0.24.132</v>
      </c>
      <c r="AA31" s="100">
        <f>IF(Z31="",0,COUNTIF($ET$26:$ET$114,Z31)+COUNTIF($Z$26:$Z$114,Z31)+COUNTIF($AI$26:$AI$114,Z31)+COUNTIF($AR$26:$AR$114,Z31)+COUNTIF($AY$26:$AY$114,Z31)+COUNTIF($BH$26:$BH$114,Z31)+COUNTIF($BQ$26:$BQ$114,Z31)+COUNTIF($BZ$26:$BZ$114,Z31)+COUNTIF($CI$26:$CI$114,Z31)+COUNTIF($CR$26:$CR$114,Z31)+COUNTIF($DA$26:$DA$114,Z31)+COUNTIF($DJ$26:$DJ$114,Z31)+COUNTIF($DS$26:$DS$114,Z31)+COUNTIF($EB$26:$EB$114,Z31)+COUNTIF($EK$26:$EK$114,Z31)+COUNTIF($I$69:$I$100,Z31)-1)</f>
        <v>0</v>
      </c>
      <c r="AB31" s="98"/>
      <c r="AC31" s="98"/>
      <c r="AD31" s="98"/>
      <c r="AE31" s="98"/>
      <c r="AF31" s="98"/>
      <c r="AG31" s="98"/>
      <c r="AH31" s="98"/>
      <c r="AI31" s="98"/>
      <c r="AJ31" s="98"/>
      <c r="AK31" s="98"/>
      <c r="AL31" s="55"/>
      <c r="AM31" s="330"/>
      <c r="AN31" s="63" t="s">
        <v>251</v>
      </c>
      <c r="AO31" s="63">
        <v>4</v>
      </c>
      <c r="AP31" s="63">
        <v>3</v>
      </c>
      <c r="AQ31" s="64" t="s">
        <v>252</v>
      </c>
      <c r="AR31" s="3" t="str">
        <f>IF(AP31=99,"", CONCATENATE("10.0.",TEXT(((BITWISE_AND('IP Address (no mod)'!$D$20,AQ$22)/4)+AP31*8),"0"),".",TEXT((BITWISE_AND('IP Address (no mod)'!$D$21,AQ$22)*64)+AM$26*10+AO31,"0")))</f>
        <v>10.0.25.4</v>
      </c>
      <c r="AS31" s="100">
        <f>IF(AR31="",0,COUNTIF($ET$26:$ET$114,AR31)+COUNTIF($Z$26:$Z$114,AR31)+COUNTIF($AI$26:$AI$114,AR31)+COUNTIF($AR$26:$AR$114,AR31)+COUNTIF($AY$26:$AY$114,AR31)+COUNTIF($BH$26:$BH$114,AR31)+COUNTIF($BQ$26:$BQ$114,AR31)+COUNTIF($BZ$26:$BZ$114,AR31)+COUNTIF($CI$26:$CI$114,AR31)+COUNTIF($CR$26:$CR$114,AR31)+COUNTIF($DA$26:$DA$114,AR31)+COUNTIF($DJ$26:$DJ$114,AR31)+COUNTIF($DS$26:$DS$114,AR31)+COUNTIF($EB$26:$EB$114,AR31)+COUNTIF($EK$26:$EK$114,AR31)+COUNTIF($I$69:$I$100,AR31)-1)</f>
        <v>0</v>
      </c>
      <c r="AT31" s="330"/>
      <c r="AU31" s="63" t="s">
        <v>251</v>
      </c>
      <c r="AV31" s="1">
        <v>4</v>
      </c>
      <c r="AW31" s="63">
        <v>3</v>
      </c>
      <c r="AX31" s="64" t="s">
        <v>253</v>
      </c>
      <c r="AY31" s="3" t="str">
        <f>IF(AW31=99,"", CONCATENATE("10.0.",TEXT(((BITWISE_AND('IP Address (no mod)'!$D$20,AQ$22)/4)+AW31*8),"0"),".",TEXT((BITWISE_AND('IP Address (no mod)'!$D$21,AQ$22)*64)+AT$26*10+AV31,"0")))</f>
        <v>10.0.25.44</v>
      </c>
      <c r="AZ31" s="100">
        <f>IF(AY31="",0,COUNTIF($ET$26:$ET$114,AY31)+COUNTIF($Z$26:$Z$114,AY31)+COUNTIF($AI$26:$AI$114,AY31)+COUNTIF($AR$26:$AR$114,AY31)+COUNTIF($AY$26:$AY$114,AY31)+COUNTIF($BH$26:$BH$114,AY31)+COUNTIF($BQ$26:$BQ$114,AY31)+COUNTIF($BZ$26:$BZ$114,AY31)+COUNTIF($CI$26:$CI$114,AY31)+COUNTIF($CR$26:$CR$114,AY31)+COUNTIF($DA$26:$DA$114,AY31)+COUNTIF($DJ$26:$DJ$114,AY31)+COUNTIF($DS$26:$DS$114,AY31)+COUNTIF($EB$26:$EB$114,AY31)+COUNTIF($EK$26:$EK$114,AY31)+COUNTIF($I$69:$I$100,AY31)-1)</f>
        <v>0</v>
      </c>
      <c r="BA31" s="98"/>
      <c r="BB31" s="55"/>
      <c r="BC31" s="330"/>
      <c r="BD31" s="63" t="s">
        <v>251</v>
      </c>
      <c r="BE31" s="63">
        <v>4</v>
      </c>
      <c r="BF31" s="63">
        <v>3</v>
      </c>
      <c r="BG31" s="64" t="s">
        <v>252</v>
      </c>
      <c r="BH31" s="3" t="str">
        <f>IF(BF31=99,"", CONCATENATE("10.0.",TEXT(((BITWISE_AND('IP Address (no mod)'!$D$20,BG$22)/4)+BF31*8),"0"),".",TEXT((BITWISE_AND('IP Address (no mod)'!$D$21,BG$22)*64)+BC$26*10+BE31,"0")))</f>
        <v>10.0.25.68</v>
      </c>
      <c r="BI31" s="100">
        <f>IF(BH31="",0,COUNTIF($ET$26:$ET$114,BH31)+COUNTIF($Z$26:$Z$114,BH31)+COUNTIF($AI$26:$AI$114,BH31)+COUNTIF($AR$26:$AR$114,BH31)+COUNTIF($AY$26:$AY$114,BH31)+COUNTIF($BH$26:$BH$114,BH31)+COUNTIF($BQ$26:$BQ$114,BH31)+COUNTIF($BZ$26:$BZ$114,BH31)+COUNTIF($CI$26:$CI$114,BH31)+COUNTIF($CR$26:$CR$114,BH31)+COUNTIF($DA$26:$DA$114,BH31)+COUNTIF($DJ$26:$DJ$114,BH31)+COUNTIF($DS$26:$DS$114,BH31)+COUNTIF($EB$26:$EB$114,BH31)+COUNTIF($EK$26:$EK$114,BH31)+COUNTIF($I$69:$I$100,BH31)-1)</f>
        <v>0</v>
      </c>
      <c r="BJ31" s="98"/>
      <c r="BK31" s="55"/>
      <c r="BL31" s="330"/>
      <c r="BM31" s="63" t="s">
        <v>251</v>
      </c>
      <c r="BN31" s="63">
        <v>4</v>
      </c>
      <c r="BO31" s="63">
        <v>3</v>
      </c>
      <c r="BP31" s="64" t="s">
        <v>252</v>
      </c>
      <c r="BQ31" s="3" t="str">
        <f>IF(BO31=99,"", CONCATENATE("10.0.",TEXT(((BITWISE_AND('IP Address (no mod)'!$D$20,BP$22)/4)+BO31*8),"0"),".",TEXT((BITWISE_AND('IP Address (no mod)'!$D$21,BP$22)*64)+BL$26*10+BN31,"0")))</f>
        <v>10.0.25.132</v>
      </c>
      <c r="BR31" s="100">
        <f>IF(BQ31="",0,COUNTIF($ET$26:$ET$114,BQ31)+COUNTIF($Z$26:$Z$114,BQ31)+COUNTIF($AI$26:$AI$114,BQ31)+COUNTIF($AR$26:$AR$114,BQ31)+COUNTIF($AY$26:$AY$114,BQ31)+COUNTIF($BH$26:$BH$114,BQ31)+COUNTIF($BQ$26:$BQ$114,BQ31)+COUNTIF($BZ$26:$BZ$114,BQ31)+COUNTIF($CI$26:$CI$114,BQ31)+COUNTIF($CR$26:$CR$114,BQ31)+COUNTIF($DA$26:$DA$114,BQ31)+COUNTIF($DJ$26:$DJ$114,BQ31)+COUNTIF($DS$26:$DS$114,BQ31)+COUNTIF($EB$26:$EB$114,BQ31)+COUNTIF($EK$26:$EK$114,BQ31)+COUNTIF($I$69:$I$100,BQ31)-1)</f>
        <v>0</v>
      </c>
      <c r="BS31" s="98"/>
      <c r="BT31" s="98"/>
      <c r="BU31" s="98"/>
      <c r="BV31" s="98"/>
      <c r="BW31" s="98"/>
      <c r="BX31" s="98"/>
      <c r="BY31" s="98"/>
      <c r="BZ31" s="98"/>
      <c r="CA31" s="98"/>
      <c r="CB31" s="98"/>
      <c r="CC31" s="98"/>
      <c r="CD31" s="98"/>
      <c r="CE31" s="98"/>
      <c r="CF31" s="98"/>
      <c r="CG31" s="98"/>
      <c r="CH31" s="98"/>
      <c r="CI31" s="98"/>
      <c r="CJ31" s="98"/>
      <c r="CK31" s="98"/>
      <c r="CL31" s="98"/>
      <c r="CM31" s="98"/>
      <c r="CN31" s="98"/>
      <c r="CO31" s="98"/>
      <c r="CP31" s="98"/>
      <c r="CQ31" s="98"/>
      <c r="CR31" s="98"/>
      <c r="CS31" s="98"/>
      <c r="CT31" s="98"/>
      <c r="CU31" s="98"/>
      <c r="CV31" s="98"/>
      <c r="CW31" s="98"/>
      <c r="CX31" s="98"/>
      <c r="CY31" s="98"/>
      <c r="CZ31" s="98"/>
      <c r="DA31" s="98"/>
      <c r="DB31" s="98"/>
      <c r="DC31" s="98"/>
      <c r="DD31" s="98"/>
      <c r="DE31" s="98"/>
      <c r="DF31" s="98"/>
      <c r="DG31" s="98"/>
      <c r="DH31" s="98"/>
      <c r="DI31" s="98"/>
      <c r="DJ31" s="98"/>
      <c r="DK31" s="98"/>
      <c r="DL31" s="98"/>
      <c r="DM31" s="98"/>
      <c r="DN31" s="98"/>
      <c r="DO31" s="98"/>
      <c r="DP31" s="98"/>
      <c r="DQ31" s="98"/>
      <c r="DR31" s="98"/>
      <c r="DS31" s="98"/>
      <c r="DT31" s="98"/>
      <c r="DU31" s="98"/>
      <c r="DV31" s="98"/>
      <c r="DW31" s="98"/>
      <c r="DX31" s="98"/>
      <c r="DY31" s="98"/>
      <c r="DZ31" s="98"/>
      <c r="EA31" s="98"/>
      <c r="EB31" s="98"/>
      <c r="EC31" s="98"/>
      <c r="ED31" s="98"/>
      <c r="EE31" s="98"/>
      <c r="EF31" s="98"/>
      <c r="EG31" s="98"/>
      <c r="EH31" s="98"/>
      <c r="EI31" s="98"/>
      <c r="EJ31" s="98"/>
      <c r="EK31" s="98"/>
      <c r="EL31" s="98"/>
      <c r="EM31" s="93"/>
      <c r="EN31" s="129"/>
      <c r="EO31" s="330"/>
      <c r="EP31" s="15" t="s">
        <v>251</v>
      </c>
      <c r="EQ31" s="63">
        <v>4</v>
      </c>
      <c r="ER31" s="63">
        <v>3</v>
      </c>
      <c r="ES31" s="63" t="s">
        <v>252</v>
      </c>
      <c r="ET31" s="3" t="str">
        <f>IF(ER31=99,"", CONCATENATE("10.0.",TEXT(((BITWISE_AND('IP Address (no mod)'!$D$20,ES$22)/4)+ER31*8),"0"),".",TEXT((BITWISE_AND('IP Address (no mod)'!$D$21,ES$22)*64)+EO$26*10+EQ31,"0")))</f>
        <v>10.0.24.68</v>
      </c>
      <c r="EU31" s="100">
        <f>IF(ET31="",0,COUNTIF($ET$26:$ET$114,ET31)+COUNTIF($Z$26:$Z$114,ET31)+COUNTIF($AI$26:$AI$114,ET31)+COUNTIF($AR$26:$AR$114,ET31)+COUNTIF($AY$26:$AY$114,ET31)+COUNTIF($BH$26:$BH$114,ET31)+COUNTIF($BQ$26:$BQ$114,ET31)+COUNTIF($BZ$26:$BZ$114,ET31)+COUNTIF($CI$26:$CI$114,ET31)+COUNTIF($CR$26:$CR$114,ET31)+COUNTIF($DA$26:$DA$114,ET31)+COUNTIF($DJ$26:$DJ$114,ET31)+COUNTIF($DS$26:$DS$114,ET31)+COUNTIF($EB$26:$EB$114,ET31)+COUNTIF($EK$26:$EK$114,ET31)+COUNTIF($I$69:$I$100,ET31)-1)</f>
        <v>0</v>
      </c>
      <c r="EV31" s="95"/>
    </row>
    <row r="32" spans="1:152">
      <c r="A32" s="342"/>
      <c r="B32" s="98"/>
      <c r="C32" s="55"/>
      <c r="D32" s="330"/>
      <c r="E32" s="63" t="s">
        <v>254</v>
      </c>
      <c r="F32" s="63">
        <v>5</v>
      </c>
      <c r="G32" s="63">
        <v>3</v>
      </c>
      <c r="H32" s="64" t="s">
        <v>461</v>
      </c>
      <c r="I32" s="222" t="str">
        <f>IF(G32=99,"", CONCATENATE("10.0.",TEXT(((BITWISE_AND('IP Address (no mod)'!$D$20,H$22)/4)+G32*8),"0"),".",TEXT((BITWISE_AND('IP Address (no mod)'!$D$21,H$22)*64)+D$26*10+F32,"0")))</f>
        <v>10.0.24.69</v>
      </c>
      <c r="J32" s="178">
        <f>IF(I32="",0,COUNTIF($ET$26:$ET$114,I32)+COUNTIF($Z$26:$Z$114,I32)+COUNTIF($AI$26:$AI$114,I32)+COUNTIF($AR$26:$AR$114,I32)+COUNTIF($AY$26:$AY$114,I32)+COUNTIF($BH$26:$BH$114,I32)+COUNTIF($BQ$26:$BQ$114,I32)+COUNTIF($BZ$26:$BZ$114,I32)+COUNTIF($CI$26:$CI$114,I32)+COUNTIF($CR$26:$CR$114,I32)+COUNTIF($DA$26:$DA$114,I32)+COUNTIF($DJ$26:$DJ$114,I32)+COUNTIF($DS$26:$DS$114,I32)+COUNTIF($EB$26:$EB$114,I32)+COUNTIF($EK$26:$EK$114,I32)+COUNTIF($I$26:$I$100,I32)+COUNTIF($Q$26:$Q$114,I32)-1)</f>
        <v>1</v>
      </c>
      <c r="K32" s="219"/>
      <c r="L32" s="330"/>
      <c r="M32" s="15" t="s">
        <v>254</v>
      </c>
      <c r="N32" s="1">
        <v>5</v>
      </c>
      <c r="O32" s="1">
        <v>0</v>
      </c>
      <c r="P32" s="64"/>
      <c r="Q32" s="222"/>
      <c r="R32" s="178">
        <f>IF(Q32="",0,COUNTIF($ET$26:$ET$114,Q32)+COUNTIF($Z$26:$Z$114,Q32)+COUNTIF($AI$26:$AI$114,Q32)+COUNTIF($AR$26:$AR$114,Q32)+COUNTIF($AY$26:$AY$114,Q32)+COUNTIF($BH$26:$BH$114,Q32)+COUNTIF($BQ$26:$BQ$114,Q32)+COUNTIF($BZ$26:$BZ$114,Q32)+COUNTIF($CI$26:$CI$114,Q32)+COUNTIF($CR$26:$CR$114,Q32)+COUNTIF($DA$26:$DA$114,Q32)+COUNTIF($DJ$26:$DJ$114,Q32)+COUNTIF($DS$26:$DS$114,Q32)+COUNTIF($EB$26:$EB$114,Q32)+COUNTIF($EK$26:$EK$114,Q32)+COUNTIF($I$26:$I$100,Q32)+COUNTIF($Q$26:$Q$114,Q32)-1)</f>
        <v>0</v>
      </c>
      <c r="S32" s="95"/>
      <c r="T32" s="219"/>
      <c r="U32" s="330"/>
      <c r="V32" s="63" t="s">
        <v>254</v>
      </c>
      <c r="W32" s="63">
        <v>5</v>
      </c>
      <c r="X32" s="63">
        <v>3</v>
      </c>
      <c r="Y32" s="64" t="s">
        <v>255</v>
      </c>
      <c r="Z32" s="3" t="str">
        <f>IF(X32=99,"", CONCATENATE("10.0.",TEXT(((BITWISE_AND('IP Address (no mod)'!$D$20,Y$22)/4)+X32*8),"0"),".",TEXT((BITWISE_AND('IP Address (no mod)'!$D$21,Y$22)*64)+U$26*10+W32,"0")))</f>
        <v>10.0.24.133</v>
      </c>
      <c r="AA32" s="100">
        <f>IF(Z32="",0,COUNTIF($ET$26:$ET$114,Z32)+COUNTIF($Z$26:$Z$114,Z32)+COUNTIF($AI$26:$AI$114,Z32)+COUNTIF($AR$26:$AR$114,Z32)+COUNTIF($AY$26:$AY$114,Z32)+COUNTIF($BH$26:$BH$114,Z32)+COUNTIF($BQ$26:$BQ$114,Z32)+COUNTIF($BZ$26:$BZ$114,Z32)+COUNTIF($CI$26:$CI$114,Z32)+COUNTIF($CR$26:$CR$114,Z32)+COUNTIF($DA$26:$DA$114,Z32)+COUNTIF($DJ$26:$DJ$114,Z32)+COUNTIF($DS$26:$DS$114,Z32)+COUNTIF($EB$26:$EB$114,Z32)+COUNTIF($EK$26:$EK$114,Z32)+COUNTIF($I$69:$I$100,Z32)-1)</f>
        <v>0</v>
      </c>
      <c r="AB32" s="98"/>
      <c r="AC32" s="98"/>
      <c r="AD32" s="98"/>
      <c r="AE32" s="98"/>
      <c r="AF32" s="98"/>
      <c r="AG32" s="98"/>
      <c r="AH32" s="98"/>
      <c r="AI32" s="98"/>
      <c r="AJ32" s="98"/>
      <c r="AK32" s="98"/>
      <c r="AL32" s="55"/>
      <c r="AM32" s="330"/>
      <c r="AN32" s="63" t="s">
        <v>254</v>
      </c>
      <c r="AO32" s="63">
        <v>5</v>
      </c>
      <c r="AP32" s="63">
        <v>3</v>
      </c>
      <c r="AQ32" s="64" t="s">
        <v>255</v>
      </c>
      <c r="AR32" s="3" t="str">
        <f>IF(AP32=99,"", CONCATENATE("10.0.",TEXT(((BITWISE_AND('IP Address (no mod)'!$D$20,AQ$22)/4)+AP32*8),"0"),".",TEXT((BITWISE_AND('IP Address (no mod)'!$D$21,AQ$22)*64)+AM$26*10+AO32,"0")))</f>
        <v>10.0.25.5</v>
      </c>
      <c r="AS32" s="100">
        <f>IF(AR32="",0,COUNTIF($ET$26:$ET$114,AR32)+COUNTIF($Z$26:$Z$114,AR32)+COUNTIF($AI$26:$AI$114,AR32)+COUNTIF($AR$26:$AR$114,AR32)+COUNTIF($AY$26:$AY$114,AR32)+COUNTIF($BH$26:$BH$114,AR32)+COUNTIF($BQ$26:$BQ$114,AR32)+COUNTIF($BZ$26:$BZ$114,AR32)+COUNTIF($CI$26:$CI$114,AR32)+COUNTIF($CR$26:$CR$114,AR32)+COUNTIF($DA$26:$DA$114,AR32)+COUNTIF($DJ$26:$DJ$114,AR32)+COUNTIF($DS$26:$DS$114,AR32)+COUNTIF($EB$26:$EB$114,AR32)+COUNTIF($EK$26:$EK$114,AR32)+COUNTIF($I$69:$I$100,AR32)-1)</f>
        <v>0</v>
      </c>
      <c r="AT32" s="330"/>
      <c r="AU32" s="63" t="s">
        <v>254</v>
      </c>
      <c r="AV32" s="1">
        <v>5</v>
      </c>
      <c r="AW32" s="63">
        <v>3</v>
      </c>
      <c r="AX32" s="64" t="s">
        <v>256</v>
      </c>
      <c r="AY32" s="3" t="str">
        <f>IF(AW32=99,"", CONCATENATE("10.0.",TEXT(((BITWISE_AND('IP Address (no mod)'!$D$20,AQ$22)/4)+AW32*8),"0"),".",TEXT((BITWISE_AND('IP Address (no mod)'!$D$21,AQ$22)*64)+AT$26*10+AV32,"0")))</f>
        <v>10.0.25.45</v>
      </c>
      <c r="AZ32" s="100">
        <f>IF(AY32="",0,COUNTIF($ET$26:$ET$114,AY32)+COUNTIF($Z$26:$Z$114,AY32)+COUNTIF($AI$26:$AI$114,AY32)+COUNTIF($AR$26:$AR$114,AY32)+COUNTIF($AY$26:$AY$114,AY32)+COUNTIF($BH$26:$BH$114,AY32)+COUNTIF($BQ$26:$BQ$114,AY32)+COUNTIF($BZ$26:$BZ$114,AY32)+COUNTIF($CI$26:$CI$114,AY32)+COUNTIF($CR$26:$CR$114,AY32)+COUNTIF($DA$26:$DA$114,AY32)+COUNTIF($DJ$26:$DJ$114,AY32)+COUNTIF($DS$26:$DS$114,AY32)+COUNTIF($EB$26:$EB$114,AY32)+COUNTIF($EK$26:$EK$114,AY32)+COUNTIF($I$69:$I$100,AY32)-1)</f>
        <v>0</v>
      </c>
      <c r="BA32" s="98"/>
      <c r="BB32" s="55"/>
      <c r="BC32" s="330"/>
      <c r="BD32" s="63" t="s">
        <v>254</v>
      </c>
      <c r="BE32" s="63">
        <v>5</v>
      </c>
      <c r="BF32" s="63">
        <v>3</v>
      </c>
      <c r="BG32" s="64" t="s">
        <v>255</v>
      </c>
      <c r="BH32" s="3" t="str">
        <f>IF(BF32=99,"", CONCATENATE("10.0.",TEXT(((BITWISE_AND('IP Address (no mod)'!$D$20,BG$22)/4)+BF32*8),"0"),".",TEXT((BITWISE_AND('IP Address (no mod)'!$D$21,BG$22)*64)+BC$26*10+BE32,"0")))</f>
        <v>10.0.25.69</v>
      </c>
      <c r="BI32" s="100">
        <f>IF(BH32="",0,COUNTIF($ET$26:$ET$114,BH32)+COUNTIF($Z$26:$Z$114,BH32)+COUNTIF($AI$26:$AI$114,BH32)+COUNTIF($AR$26:$AR$114,BH32)+COUNTIF($AY$26:$AY$114,BH32)+COUNTIF($BH$26:$BH$114,BH32)+COUNTIF($BQ$26:$BQ$114,BH32)+COUNTIF($BZ$26:$BZ$114,BH32)+COUNTIF($CI$26:$CI$114,BH32)+COUNTIF($CR$26:$CR$114,BH32)+COUNTIF($DA$26:$DA$114,BH32)+COUNTIF($DJ$26:$DJ$114,BH32)+COUNTIF($DS$26:$DS$114,BH32)+COUNTIF($EB$26:$EB$114,BH32)+COUNTIF($EK$26:$EK$114,BH32)+COUNTIF($I$69:$I$100,BH32)-1)</f>
        <v>0</v>
      </c>
      <c r="BJ32" s="98"/>
      <c r="BK32" s="55"/>
      <c r="BL32" s="330"/>
      <c r="BM32" s="63" t="s">
        <v>254</v>
      </c>
      <c r="BN32" s="63">
        <v>5</v>
      </c>
      <c r="BO32" s="63">
        <v>3</v>
      </c>
      <c r="BP32" s="64" t="s">
        <v>255</v>
      </c>
      <c r="BQ32" s="3" t="str">
        <f>IF(BO32=99,"", CONCATENATE("10.0.",TEXT(((BITWISE_AND('IP Address (no mod)'!$D$20,BP$22)/4)+BO32*8),"0"),".",TEXT((BITWISE_AND('IP Address (no mod)'!$D$21,BP$22)*64)+BL$26*10+BN32,"0")))</f>
        <v>10.0.25.133</v>
      </c>
      <c r="BR32" s="100">
        <f>IF(BQ32="",0,COUNTIF($ET$26:$ET$114,BQ32)+COUNTIF($Z$26:$Z$114,BQ32)+COUNTIF($AI$26:$AI$114,BQ32)+COUNTIF($AR$26:$AR$114,BQ32)+COUNTIF($AY$26:$AY$114,BQ32)+COUNTIF($BH$26:$BH$114,BQ32)+COUNTIF($BQ$26:$BQ$114,BQ32)+COUNTIF($BZ$26:$BZ$114,BQ32)+COUNTIF($CI$26:$CI$114,BQ32)+COUNTIF($CR$26:$CR$114,BQ32)+COUNTIF($DA$26:$DA$114,BQ32)+COUNTIF($DJ$26:$DJ$114,BQ32)+COUNTIF($DS$26:$DS$114,BQ32)+COUNTIF($EB$26:$EB$114,BQ32)+COUNTIF($EK$26:$EK$114,BQ32)+COUNTIF($I$69:$I$100,BQ32)-1)</f>
        <v>0</v>
      </c>
      <c r="BS32" s="98"/>
      <c r="BT32" s="98"/>
      <c r="BU32" s="98"/>
      <c r="BV32" s="98"/>
      <c r="BW32" s="98"/>
      <c r="BX32" s="98"/>
      <c r="BY32" s="98"/>
      <c r="BZ32" s="98"/>
      <c r="CA32" s="98"/>
      <c r="CB32" s="98"/>
      <c r="CC32" s="98"/>
      <c r="CD32" s="98"/>
      <c r="CE32" s="98"/>
      <c r="CF32" s="98"/>
      <c r="CG32" s="98"/>
      <c r="CH32" s="98"/>
      <c r="CI32" s="98"/>
      <c r="CJ32" s="98"/>
      <c r="CK32" s="98"/>
      <c r="CL32" s="98"/>
      <c r="CM32" s="98"/>
      <c r="CN32" s="98"/>
      <c r="CO32" s="98"/>
      <c r="CP32" s="98"/>
      <c r="CQ32" s="98"/>
      <c r="CR32" s="98"/>
      <c r="CS32" s="98"/>
      <c r="CT32" s="98"/>
      <c r="CU32" s="98"/>
      <c r="CV32" s="98"/>
      <c r="CW32" s="98"/>
      <c r="CX32" s="98"/>
      <c r="CY32" s="98"/>
      <c r="CZ32" s="98"/>
      <c r="DA32" s="98"/>
      <c r="DB32" s="98"/>
      <c r="DC32" s="98"/>
      <c r="DD32" s="98"/>
      <c r="DE32" s="98"/>
      <c r="DF32" s="98"/>
      <c r="DG32" s="98"/>
      <c r="DH32" s="98"/>
      <c r="DI32" s="98"/>
      <c r="DJ32" s="98"/>
      <c r="DK32" s="98"/>
      <c r="DL32" s="98"/>
      <c r="DM32" s="98"/>
      <c r="DN32" s="98"/>
      <c r="DO32" s="98"/>
      <c r="DP32" s="98"/>
      <c r="DQ32" s="98"/>
      <c r="DR32" s="98"/>
      <c r="DS32" s="98"/>
      <c r="DT32" s="98"/>
      <c r="DU32" s="98"/>
      <c r="DV32" s="98"/>
      <c r="DW32" s="98"/>
      <c r="DX32" s="98"/>
      <c r="DY32" s="98"/>
      <c r="DZ32" s="98"/>
      <c r="EA32" s="98"/>
      <c r="EB32" s="98"/>
      <c r="EC32" s="98"/>
      <c r="ED32" s="98"/>
      <c r="EE32" s="98"/>
      <c r="EF32" s="98"/>
      <c r="EG32" s="98"/>
      <c r="EH32" s="98"/>
      <c r="EI32" s="98"/>
      <c r="EJ32" s="98"/>
      <c r="EK32" s="98"/>
      <c r="EL32" s="98"/>
      <c r="EM32" s="93"/>
      <c r="EN32" s="129"/>
      <c r="EO32" s="330"/>
      <c r="EP32" s="15" t="s">
        <v>254</v>
      </c>
      <c r="EQ32" s="63">
        <v>5</v>
      </c>
      <c r="ER32" s="63">
        <v>3</v>
      </c>
      <c r="ES32" s="63" t="s">
        <v>255</v>
      </c>
      <c r="ET32" s="3" t="str">
        <f>IF(ER32=99,"", CONCATENATE("10.0.",TEXT(((BITWISE_AND('IP Address (no mod)'!$D$20,ES$22)/4)+ER32*8),"0"),".",TEXT((BITWISE_AND('IP Address (no mod)'!$D$21,ES$22)*64)+EO$26*10+EQ32,"0")))</f>
        <v>10.0.24.69</v>
      </c>
      <c r="EU32" s="100">
        <f>IF(ET32="",0,COUNTIF($ET$26:$ET$114,ET32)+COUNTIF($Z$26:$Z$114,ET32)+COUNTIF($AI$26:$AI$114,ET32)+COUNTIF($AR$26:$AR$114,ET32)+COUNTIF($AY$26:$AY$114,ET32)+COUNTIF($BH$26:$BH$114,ET32)+COUNTIF($BQ$26:$BQ$114,ET32)+COUNTIF($BZ$26:$BZ$114,ET32)+COUNTIF($CI$26:$CI$114,ET32)+COUNTIF($CR$26:$CR$114,ET32)+COUNTIF($DA$26:$DA$114,ET32)+COUNTIF($DJ$26:$DJ$114,ET32)+COUNTIF($DS$26:$DS$114,ET32)+COUNTIF($EB$26:$EB$114,ET32)+COUNTIF($EK$26:$EK$114,ET32)+COUNTIF($I$69:$I$100,ET32)-1)</f>
        <v>0</v>
      </c>
      <c r="EV32" s="95"/>
    </row>
    <row r="33" spans="1:152" ht="15.75" thickBot="1">
      <c r="A33" s="342"/>
      <c r="B33" s="98"/>
      <c r="C33" s="55"/>
      <c r="D33" s="330"/>
      <c r="E33" s="63" t="s">
        <v>257</v>
      </c>
      <c r="F33" s="63">
        <v>6</v>
      </c>
      <c r="G33" s="63">
        <v>2</v>
      </c>
      <c r="H33" s="64" t="s">
        <v>260</v>
      </c>
      <c r="I33" s="222" t="str">
        <f>IF(G33=99,"", CONCATENATE("10.0.",TEXT(((BITWISE_AND('IP Address (no mod)'!$D$20,H$22)/4)+G33*8),"0"),".",TEXT((BITWISE_AND('IP Address (no mod)'!$D$21,H$22)*64)+D$26*10+F33,"0")))</f>
        <v>10.0.16.70</v>
      </c>
      <c r="J33" s="178">
        <f>IF(I33="",0,COUNTIF($ET$26:$ET$114,I33)+COUNTIF($Z$26:$Z$114,I33)+COUNTIF($AI$26:$AI$114,I33)+COUNTIF($AR$26:$AR$114,I33)+COUNTIF($AY$26:$AY$114,I33)+COUNTIF($BH$26:$BH$114,I33)+COUNTIF($BQ$26:$BQ$114,I33)+COUNTIF($BZ$26:$BZ$114,I33)+COUNTIF($CI$26:$CI$114,I33)+COUNTIF($CR$26:$CR$114,I33)+COUNTIF($DA$26:$DA$114,I33)+COUNTIF($DJ$26:$DJ$114,I33)+COUNTIF($DS$26:$DS$114,I33)+COUNTIF($EB$26:$EB$114,I33)+COUNTIF($EK$26:$EK$114,I33)+COUNTIF($I$26:$I$100,I33)+COUNTIF($Q$26:$Q$114,I33)-1)</f>
        <v>0</v>
      </c>
      <c r="K33" s="219"/>
      <c r="L33" s="330"/>
      <c r="M33" s="15" t="s">
        <v>257</v>
      </c>
      <c r="N33" s="1">
        <v>6</v>
      </c>
      <c r="O33" s="1">
        <v>0</v>
      </c>
      <c r="P33" s="64"/>
      <c r="Q33" s="222"/>
      <c r="R33" s="178">
        <f>IF(Q33="",0,COUNTIF($ET$26:$ET$114,Q33)+COUNTIF($Z$26:$Z$114,Q33)+COUNTIF($AI$26:$AI$114,Q33)+COUNTIF($AR$26:$AR$114,Q33)+COUNTIF($AY$26:$AY$114,Q33)+COUNTIF($BH$26:$BH$114,Q33)+COUNTIF($BQ$26:$BQ$114,Q33)+COUNTIF($BZ$26:$BZ$114,Q33)+COUNTIF($CI$26:$CI$114,Q33)+COUNTIF($CR$26:$CR$114,Q33)+COUNTIF($DA$26:$DA$114,Q33)+COUNTIF($DJ$26:$DJ$114,Q33)+COUNTIF($DS$26:$DS$114,Q33)+COUNTIF($EB$26:$EB$114,Q33)+COUNTIF($EK$26:$EK$114,Q33)+COUNTIF($I$26:$I$100,Q33)+COUNTIF($Q$26:$Q$114,Q33)-1)</f>
        <v>0</v>
      </c>
      <c r="S33" s="95"/>
      <c r="T33" s="219"/>
      <c r="U33" s="330"/>
      <c r="V33" s="63" t="s">
        <v>257</v>
      </c>
      <c r="W33" s="63">
        <v>6</v>
      </c>
      <c r="X33" s="63">
        <v>99</v>
      </c>
      <c r="Y33" s="1"/>
      <c r="Z33" s="3" t="str">
        <f>IF(X33=99,"", CONCATENATE("10.0.",TEXT(((BITWISE_AND('IP Address (no mod)'!$D$20,Y$22)/4)+X33*8),"0"),".",TEXT((BITWISE_AND('IP Address (no mod)'!$D$21,Y$22)*64)+U$26*10+W33,"0")))</f>
        <v/>
      </c>
      <c r="AA33" s="100">
        <f>IF(Z33="",0,COUNTIF($ET$26:$ET$114,Z33)+COUNTIF($Z$26:$Z$114,Z33)+COUNTIF($AI$26:$AI$114,Z33)+COUNTIF($AR$26:$AR$114,Z33)+COUNTIF($AY$26:$AY$114,Z33)+COUNTIF($BH$26:$BH$114,Z33)+COUNTIF($BQ$26:$BQ$114,Z33)+COUNTIF($BZ$26:$BZ$114,Z33)+COUNTIF($CI$26:$CI$114,Z33)+COUNTIF($CR$26:$CR$114,Z33)+COUNTIF($DA$26:$DA$114,Z33)+COUNTIF($DJ$26:$DJ$114,Z33)+COUNTIF($DS$26:$DS$114,Z33)+COUNTIF($EB$26:$EB$114,Z33)+COUNTIF($EK$26:$EK$114,Z33)+COUNTIF($I$69:$I$100,Z33)-1)</f>
        <v>0</v>
      </c>
      <c r="AB33" s="98"/>
      <c r="AC33" s="98"/>
      <c r="AD33" s="98"/>
      <c r="AE33" s="98"/>
      <c r="AF33" s="98"/>
      <c r="AG33" s="98"/>
      <c r="AH33" s="98"/>
      <c r="AI33" s="98"/>
      <c r="AJ33" s="98"/>
      <c r="AK33" s="98"/>
      <c r="AL33" s="55"/>
      <c r="AM33" s="330"/>
      <c r="AN33" s="234" t="s">
        <v>257</v>
      </c>
      <c r="AO33" s="234">
        <v>6</v>
      </c>
      <c r="AP33" s="234">
        <v>1</v>
      </c>
      <c r="AQ33" s="235" t="s">
        <v>67</v>
      </c>
      <c r="AR33" s="236" t="s">
        <v>486</v>
      </c>
      <c r="AS33" s="100">
        <f>IF(AR33="",0,COUNTIF($ET$26:$ET$114,AR33)+COUNTIF($Z$26:$Z$114,AR33)+COUNTIF($AI$26:$AI$114,AR33)+COUNTIF($AR$26:$AR$114,AR33)+COUNTIF($AY$26:$AY$114,AR33)+COUNTIF($BH$26:$BH$114,AR33)+COUNTIF($BQ$26:$BQ$114,AR33)+COUNTIF($BZ$26:$BZ$114,AR33)+COUNTIF($CI$26:$CI$114,AR33)+COUNTIF($CR$26:$CR$114,AR33)+COUNTIF($DA$26:$DA$114,AR33)+COUNTIF($DJ$26:$DJ$114,AR33)+COUNTIF($DS$26:$DS$114,AR33)+COUNTIF($EB$26:$EB$114,AR33)+COUNTIF($EK$26:$EK$114,AR33)+COUNTIF($I$69:$I$100,AR33)-1)</f>
        <v>0</v>
      </c>
      <c r="AT33" s="330"/>
      <c r="AU33" s="63" t="s">
        <v>257</v>
      </c>
      <c r="AV33" s="1">
        <v>6</v>
      </c>
      <c r="AW33" s="63">
        <v>3</v>
      </c>
      <c r="AX33" s="64" t="s">
        <v>258</v>
      </c>
      <c r="AY33" s="3" t="str">
        <f>IF(AW33=99,"", CONCATENATE("10.0.",TEXT(((BITWISE_AND('IP Address (no mod)'!$D$20,AQ$22)/4)+AW33*8),"0"),".",TEXT((BITWISE_AND('IP Address (no mod)'!$D$21,AQ$22)*64)+AT$26*10+AV33,"0")))</f>
        <v>10.0.25.46</v>
      </c>
      <c r="AZ33" s="100">
        <f>IF(AY33="",0,COUNTIF($ET$26:$ET$114,AY33)+COUNTIF($Z$26:$Z$114,AY33)+COUNTIF($AI$26:$AI$114,AY33)+COUNTIF($AR$26:$AR$114,AY33)+COUNTIF($AY$26:$AY$114,AY33)+COUNTIF($BH$26:$BH$114,AY33)+COUNTIF($BQ$26:$BQ$114,AY33)+COUNTIF($BZ$26:$BZ$114,AY33)+COUNTIF($CI$26:$CI$114,AY33)+COUNTIF($CR$26:$CR$114,AY33)+COUNTIF($DA$26:$DA$114,AY33)+COUNTIF($DJ$26:$DJ$114,AY33)+COUNTIF($DS$26:$DS$114,AY33)+COUNTIF($EB$26:$EB$114,AY33)+COUNTIF($EK$26:$EK$114,AY33)+COUNTIF($I$69:$I$100,AY33)-1)</f>
        <v>0</v>
      </c>
      <c r="BA33" s="98"/>
      <c r="BB33" s="55"/>
      <c r="BC33" s="330"/>
      <c r="BD33" s="63" t="s">
        <v>257</v>
      </c>
      <c r="BE33" s="63">
        <v>6</v>
      </c>
      <c r="BF33" s="63">
        <v>99</v>
      </c>
      <c r="BG33" s="1"/>
      <c r="BH33" s="3" t="str">
        <f>IF(BF33=99,"", CONCATENATE("10.0.",TEXT(((BITWISE_AND('IP Address (no mod)'!$D$20,BG$22)/4)+BF33*8),"0"),".",TEXT((BITWISE_AND('IP Address (no mod)'!$D$21,BG$22)*64)+BC$26*10+BE33,"0")))</f>
        <v/>
      </c>
      <c r="BI33" s="100">
        <f>IF(BH33="",0,COUNTIF($ET$26:$ET$114,BH33)+COUNTIF($Z$26:$Z$114,BH33)+COUNTIF($AI$26:$AI$114,BH33)+COUNTIF($AR$26:$AR$114,BH33)+COUNTIF($AY$26:$AY$114,BH33)+COUNTIF($BH$26:$BH$114,BH33)+COUNTIF($BQ$26:$BQ$114,BH33)+COUNTIF($BZ$26:$BZ$114,BH33)+COUNTIF($CI$26:$CI$114,BH33)+COUNTIF($CR$26:$CR$114,BH33)+COUNTIF($DA$26:$DA$114,BH33)+COUNTIF($DJ$26:$DJ$114,BH33)+COUNTIF($DS$26:$DS$114,BH33)+COUNTIF($EB$26:$EB$114,BH33)+COUNTIF($EK$26:$EK$114,BH33)+COUNTIF($I$69:$I$100,BH33)-1)</f>
        <v>0</v>
      </c>
      <c r="BJ33" s="98"/>
      <c r="BK33" s="55"/>
      <c r="BL33" s="330"/>
      <c r="BM33" s="63" t="s">
        <v>257</v>
      </c>
      <c r="BN33" s="63">
        <v>6</v>
      </c>
      <c r="BO33" s="63">
        <v>99</v>
      </c>
      <c r="BP33" s="1"/>
      <c r="BQ33" s="3" t="str">
        <f>IF(BO33=99,"", CONCATENATE("10.0.",TEXT(((BITWISE_AND('IP Address (no mod)'!$D$20,BP$22)/4)+BO33*8),"0"),".",TEXT((BITWISE_AND('IP Address (no mod)'!$D$21,BP$22)*64)+BL$26*10+BN33,"0")))</f>
        <v/>
      </c>
      <c r="BR33" s="100">
        <f>IF(BQ33="",0,COUNTIF($ET$26:$ET$114,BQ33)+COUNTIF($Z$26:$Z$114,BQ33)+COUNTIF($AI$26:$AI$114,BQ33)+COUNTIF($AR$26:$AR$114,BQ33)+COUNTIF($AY$26:$AY$114,BQ33)+COUNTIF($BH$26:$BH$114,BQ33)+COUNTIF($BQ$26:$BQ$114,BQ33)+COUNTIF($BZ$26:$BZ$114,BQ33)+COUNTIF($CI$26:$CI$114,BQ33)+COUNTIF($CR$26:$CR$114,BQ33)+COUNTIF($DA$26:$DA$114,BQ33)+COUNTIF($DJ$26:$DJ$114,BQ33)+COUNTIF($DS$26:$DS$114,BQ33)+COUNTIF($EB$26:$EB$114,BQ33)+COUNTIF($EK$26:$EK$114,BQ33)+COUNTIF($I$69:$I$100,BQ33)-1)</f>
        <v>0</v>
      </c>
      <c r="BS33" s="98"/>
      <c r="BT33" s="98"/>
      <c r="BU33" s="98"/>
      <c r="BV33" s="98"/>
      <c r="BW33" s="98"/>
      <c r="BX33" s="98"/>
      <c r="BY33" s="98"/>
      <c r="BZ33" s="98"/>
      <c r="CA33" s="98"/>
      <c r="CB33" s="98"/>
      <c r="CC33" s="98"/>
      <c r="CD33" s="98"/>
      <c r="CE33" s="98"/>
      <c r="CF33" s="98"/>
      <c r="CG33" s="98"/>
      <c r="CH33" s="98"/>
      <c r="CI33" s="98"/>
      <c r="CJ33" s="98"/>
      <c r="CK33" s="98"/>
      <c r="CL33" s="98"/>
      <c r="CM33" s="98"/>
      <c r="CN33" s="98"/>
      <c r="CO33" s="98"/>
      <c r="CP33" s="98"/>
      <c r="CQ33" s="98"/>
      <c r="CR33" s="98"/>
      <c r="CS33" s="98"/>
      <c r="CT33" s="98"/>
      <c r="CU33" s="98"/>
      <c r="CV33" s="98"/>
      <c r="CW33" s="98"/>
      <c r="CX33" s="98"/>
      <c r="CY33" s="98"/>
      <c r="CZ33" s="98"/>
      <c r="DA33" s="98"/>
      <c r="DB33" s="98"/>
      <c r="DC33" s="98"/>
      <c r="DD33" s="98"/>
      <c r="DE33" s="98"/>
      <c r="DF33" s="98"/>
      <c r="DG33" s="98"/>
      <c r="DH33" s="98"/>
      <c r="DI33" s="98"/>
      <c r="DJ33" s="98"/>
      <c r="DK33" s="98"/>
      <c r="DL33" s="98"/>
      <c r="DM33" s="98"/>
      <c r="DN33" s="98"/>
      <c r="DO33" s="98"/>
      <c r="DP33" s="98"/>
      <c r="DQ33" s="98"/>
      <c r="DR33" s="98"/>
      <c r="DS33" s="98"/>
      <c r="DT33" s="98"/>
      <c r="DU33" s="98"/>
      <c r="DV33" s="98"/>
      <c r="DW33" s="98"/>
      <c r="DX33" s="98"/>
      <c r="DY33" s="98"/>
      <c r="DZ33" s="98"/>
      <c r="EA33" s="98"/>
      <c r="EB33" s="98"/>
      <c r="EC33" s="98"/>
      <c r="ED33" s="98"/>
      <c r="EE33" s="98"/>
      <c r="EF33" s="98"/>
      <c r="EG33" s="98"/>
      <c r="EH33" s="98"/>
      <c r="EI33" s="98"/>
      <c r="EJ33" s="98"/>
      <c r="EK33" s="98"/>
      <c r="EL33" s="98"/>
      <c r="EM33" s="93"/>
      <c r="EN33" s="129"/>
      <c r="EO33" s="330"/>
      <c r="EP33" s="15" t="s">
        <v>257</v>
      </c>
      <c r="EQ33" s="63">
        <v>6</v>
      </c>
      <c r="ER33" s="63">
        <v>3</v>
      </c>
      <c r="ES33" s="63" t="s">
        <v>101</v>
      </c>
      <c r="ET33" s="3" t="str">
        <f>IF(ER33=99,"", CONCATENATE("10.0.",TEXT(((BITWISE_AND('IP Address (no mod)'!$D$20,ES$22)/4)+ER33*8),"0"),".",TEXT((BITWISE_AND('IP Address (no mod)'!$D$21,ES$22)*64)+EO$26*10+EQ33,"0")))</f>
        <v>10.0.24.70</v>
      </c>
      <c r="EU33" s="100">
        <f>IF(ET33="",0,COUNTIF($ET$26:$ET$114,ET33)+COUNTIF($Z$26:$Z$114,ET33)+COUNTIF($AI$26:$AI$114,ET33)+COUNTIF($AR$26:$AR$114,ET33)+COUNTIF($AY$26:$AY$114,ET33)+COUNTIF($BH$26:$BH$114,ET33)+COUNTIF($BQ$26:$BQ$114,ET33)+COUNTIF($BZ$26:$BZ$114,ET33)+COUNTIF($CI$26:$CI$114,ET33)+COUNTIF($CR$26:$CR$114,ET33)+COUNTIF($DA$26:$DA$114,ET33)+COUNTIF($DJ$26:$DJ$114,ET33)+COUNTIF($DS$26:$DS$114,ET33)+COUNTIF($EB$26:$EB$114,ET33)+COUNTIF($EK$26:$EK$114,ET33)+COUNTIF($I$69:$I$100,ET33)-1)</f>
        <v>0</v>
      </c>
      <c r="EV33" s="95"/>
    </row>
    <row r="34" spans="1:152">
      <c r="A34" s="342"/>
      <c r="B34" s="134"/>
      <c r="C34" s="55"/>
      <c r="D34" s="330"/>
      <c r="E34" s="63" t="s">
        <v>259</v>
      </c>
      <c r="F34" s="63">
        <v>7</v>
      </c>
      <c r="G34" s="63">
        <v>2</v>
      </c>
      <c r="H34" s="64" t="s">
        <v>483</v>
      </c>
      <c r="I34" s="222" t="str">
        <f>IF(G34=99,"", CONCATENATE("10.0.",TEXT(((BITWISE_AND('IP Address (no mod)'!$D$20,H$22)/4)+G34*8),"0"),".",TEXT((BITWISE_AND('IP Address (no mod)'!$D$21,H$22)*64)+D$26*10+F34,"0")))</f>
        <v>10.0.16.71</v>
      </c>
      <c r="J34" s="178">
        <f>IF(I34="",0,COUNTIF($ET$26:$ET$114,I34)+COUNTIF($Z$26:$Z$114,I34)+COUNTIF($AI$26:$AI$114,I34)+COUNTIF($AR$26:$AR$114,I34)+COUNTIF($AY$26:$AY$114,I34)+COUNTIF($BH$26:$BH$114,I34)+COUNTIF($BQ$26:$BQ$114,I34)+COUNTIF($BZ$26:$BZ$114,I34)+COUNTIF($CI$26:$CI$114,I34)+COUNTIF($CR$26:$CR$114,I34)+COUNTIF($DA$26:$DA$114,I34)+COUNTIF($DJ$26:$DJ$114,I34)+COUNTIF($DS$26:$DS$114,I34)+COUNTIF($EB$26:$EB$114,I34)+COUNTIF($EK$26:$EK$114,I34)+COUNTIF($I$26:$I$100,I34)+COUNTIF($Q$26:$Q$114,I34)-1)</f>
        <v>1</v>
      </c>
      <c r="K34" s="219"/>
      <c r="L34" s="330"/>
      <c r="M34" s="15" t="s">
        <v>259</v>
      </c>
      <c r="N34" s="1">
        <v>7</v>
      </c>
      <c r="O34" s="1">
        <v>3</v>
      </c>
      <c r="P34" s="64" t="s">
        <v>267</v>
      </c>
      <c r="Q34" s="222" t="str">
        <f>IF(O34=99,"", CONCATENATE("10.0.",TEXT(((BITWISE_AND('IP Address (no mod)'!$D$20,H$22)/4)+O34*8),"0"),".",TEXT((BITWISE_AND('IP Address (no mod)'!$D$21,H$22)*64)+L$26*10+N34,"0")))</f>
        <v>10.0.24.111</v>
      </c>
      <c r="R34" s="178">
        <f>IF(Q34="",0,COUNTIF($ET$26:$ET$114,Q34)+COUNTIF($Z$26:$Z$114,Q34)+COUNTIF($AI$26:$AI$114,Q34)+COUNTIF($AR$26:$AR$114,Q34)+COUNTIF($AY$26:$AY$114,Q34)+COUNTIF($BH$26:$BH$114,Q34)+COUNTIF($BQ$26:$BQ$114,Q34)+COUNTIF($BZ$26:$BZ$114,Q34)+COUNTIF($CI$26:$CI$114,Q34)+COUNTIF($CR$26:$CR$114,Q34)+COUNTIF($DA$26:$DA$114,Q34)+COUNTIF($DJ$26:$DJ$114,Q34)+COUNTIF($DS$26:$DS$114,Q34)+COUNTIF($EB$26:$EB$114,Q34)+COUNTIF($EK$26:$EK$114,Q34)+COUNTIF($I$26:$I$100,Q34)+COUNTIF($Q$26:$Q$114,Q34)-1)</f>
        <v>0</v>
      </c>
      <c r="S34" s="95"/>
      <c r="T34" s="219"/>
      <c r="U34" s="330"/>
      <c r="V34" s="63" t="s">
        <v>259</v>
      </c>
      <c r="W34" s="63">
        <v>7</v>
      </c>
      <c r="X34" s="63">
        <v>3</v>
      </c>
      <c r="Y34" s="64" t="s">
        <v>261</v>
      </c>
      <c r="Z34" s="3" t="str">
        <f>IF(X34=99,"", CONCATENATE("10.0.",TEXT(((BITWISE_AND('IP Address (no mod)'!$D$20,Y$22)/4)+X34*8),"0"),".",TEXT((BITWISE_AND('IP Address (no mod)'!$D$21,Y$22)*64)+U$26*10+W34,"0")))</f>
        <v>10.0.24.135</v>
      </c>
      <c r="AA34" s="100">
        <f>IF(Z34="",0,COUNTIF($ET$26:$ET$114,Z34)+COUNTIF($Z$26:$Z$114,Z34)+COUNTIF($AI$26:$AI$114,Z34)+COUNTIF($AR$26:$AR$114,Z34)+COUNTIF($AY$26:$AY$114,Z34)+COUNTIF($BH$26:$BH$114,Z34)+COUNTIF($BQ$26:$BQ$114,Z34)+COUNTIF($BZ$26:$BZ$114,Z34)+COUNTIF($CI$26:$CI$114,Z34)+COUNTIF($CR$26:$CR$114,Z34)+COUNTIF($DA$26:$DA$114,Z34)+COUNTIF($DJ$26:$DJ$114,Z34)+COUNTIF($DS$26:$DS$114,Z34)+COUNTIF($EB$26:$EB$114,Z34)+COUNTIF($EK$26:$EK$114,Z34)+COUNTIF($I$69:$I$100,Z34)-1)</f>
        <v>0</v>
      </c>
      <c r="AB34" s="98"/>
      <c r="AC34" s="98"/>
      <c r="AD34" s="98"/>
      <c r="AE34" s="98"/>
      <c r="AF34" s="98"/>
      <c r="AG34" s="98"/>
      <c r="AH34" s="98"/>
      <c r="AI34" s="98"/>
      <c r="AJ34" s="98"/>
      <c r="AK34" s="98"/>
      <c r="AL34" s="55"/>
      <c r="AM34" s="330"/>
      <c r="AN34" s="63" t="s">
        <v>259</v>
      </c>
      <c r="AO34" s="63">
        <v>7</v>
      </c>
      <c r="AP34" s="63">
        <v>3</v>
      </c>
      <c r="AQ34" s="64" t="s">
        <v>261</v>
      </c>
      <c r="AR34" s="3" t="str">
        <f>IF(AP34=99,"", CONCATENATE("10.0.",TEXT(((BITWISE_AND('IP Address (no mod)'!$D$20,AQ$22)/4)+AP34*8),"0"),".",TEXT((BITWISE_AND('IP Address (no mod)'!$D$21,AQ$22)*64)+AM$26*10+AO34,"0")))</f>
        <v>10.0.25.7</v>
      </c>
      <c r="AS34" s="100">
        <f>IF(AR34="",0,COUNTIF($ET$26:$ET$114,AR34)+COUNTIF($Z$26:$Z$114,AR34)+COUNTIF($AI$26:$AI$114,AR34)+COUNTIF($AR$26:$AR$114,AR34)+COUNTIF($AY$26:$AY$114,AR34)+COUNTIF($BH$26:$BH$114,AR34)+COUNTIF($BQ$26:$BQ$114,AR34)+COUNTIF($BZ$26:$BZ$114,AR34)+COUNTIF($CI$26:$CI$114,AR34)+COUNTIF($CR$26:$CR$114,AR34)+COUNTIF($DA$26:$DA$114,AR34)+COUNTIF($DJ$26:$DJ$114,AR34)+COUNTIF($DS$26:$DS$114,AR34)+COUNTIF($EB$26:$EB$114,AR34)+COUNTIF($EK$26:$EK$114,AR34)+COUNTIF($I$69:$I$100,AR34)-1)</f>
        <v>0</v>
      </c>
      <c r="AT34" s="330"/>
      <c r="AU34" s="63" t="s">
        <v>259</v>
      </c>
      <c r="AV34" s="1">
        <v>7</v>
      </c>
      <c r="AW34" s="63">
        <v>3</v>
      </c>
      <c r="AX34" s="64" t="s">
        <v>262</v>
      </c>
      <c r="AY34" s="3" t="str">
        <f>IF(AW34=99,"", CONCATENATE("10.0.",TEXT(((BITWISE_AND('IP Address (no mod)'!$D$20,AQ$22)/4)+AW34*8),"0"),".",TEXT((BITWISE_AND('IP Address (no mod)'!$D$21,AQ$22)*64)+AT$26*10+AV34,"0")))</f>
        <v>10.0.25.47</v>
      </c>
      <c r="AZ34" s="100">
        <f>IF(AY34="",0,COUNTIF($ET$26:$ET$114,AY34)+COUNTIF($Z$26:$Z$114,AY34)+COUNTIF($AI$26:$AI$114,AY34)+COUNTIF($AR$26:$AR$114,AY34)+COUNTIF($AY$26:$AY$114,AY34)+COUNTIF($BH$26:$BH$114,AY34)+COUNTIF($BQ$26:$BQ$114,AY34)+COUNTIF($BZ$26:$BZ$114,AY34)+COUNTIF($CI$26:$CI$114,AY34)+COUNTIF($CR$26:$CR$114,AY34)+COUNTIF($DA$26:$DA$114,AY34)+COUNTIF($DJ$26:$DJ$114,AY34)+COUNTIF($DS$26:$DS$114,AY34)+COUNTIF($EB$26:$EB$114,AY34)+COUNTIF($EK$26:$EK$114,AY34)+COUNTIF($I$69:$I$100,AY34)-1)</f>
        <v>0</v>
      </c>
      <c r="BA34" s="98"/>
      <c r="BB34" s="55"/>
      <c r="BC34" s="330"/>
      <c r="BD34" s="63" t="s">
        <v>259</v>
      </c>
      <c r="BE34" s="63">
        <v>7</v>
      </c>
      <c r="BF34" s="63">
        <v>99</v>
      </c>
      <c r="BG34" s="1"/>
      <c r="BH34" s="3" t="str">
        <f>IF(BF34=99,"", CONCATENATE("10.0.",TEXT(((BITWISE_AND('IP Address (no mod)'!$D$20,BG$22)/4)+BF34*8),"0"),".",TEXT((BITWISE_AND('IP Address (no mod)'!$D$21,BG$22)*64)+BC$26*10+BE34,"0")))</f>
        <v/>
      </c>
      <c r="BI34" s="100">
        <f>IF(BH34="",0,COUNTIF($ET$26:$ET$114,BH34)+COUNTIF($Z$26:$Z$114,BH34)+COUNTIF($AI$26:$AI$114,BH34)+COUNTIF($AR$26:$AR$114,BH34)+COUNTIF($AY$26:$AY$114,BH34)+COUNTIF($BH$26:$BH$114,BH34)+COUNTIF($BQ$26:$BQ$114,BH34)+COUNTIF($BZ$26:$BZ$114,BH34)+COUNTIF($CI$26:$CI$114,BH34)+COUNTIF($CR$26:$CR$114,BH34)+COUNTIF($DA$26:$DA$114,BH34)+COUNTIF($DJ$26:$DJ$114,BH34)+COUNTIF($DS$26:$DS$114,BH34)+COUNTIF($EB$26:$EB$114,BH34)+COUNTIF($EK$26:$EK$114,BH34)+COUNTIF($I$69:$I$100,BH34)-1)</f>
        <v>0</v>
      </c>
      <c r="BJ34" s="98"/>
      <c r="BK34" s="55"/>
      <c r="BL34" s="330"/>
      <c r="BM34" s="63" t="s">
        <v>259</v>
      </c>
      <c r="BN34" s="63">
        <v>7</v>
      </c>
      <c r="BO34" s="63">
        <v>3</v>
      </c>
      <c r="BP34" s="64" t="s">
        <v>261</v>
      </c>
      <c r="BQ34" s="3" t="str">
        <f>IF(BO34=99,"", CONCATENATE("10.0.",TEXT(((BITWISE_AND('IP Address (no mod)'!$D$20,BP$22)/4)+BO34*8),"0"),".",TEXT((BITWISE_AND('IP Address (no mod)'!$D$21,BP$22)*64)+BL$26*10+BN34,"0")))</f>
        <v>10.0.25.135</v>
      </c>
      <c r="BR34" s="100">
        <f>IF(BQ34="",0,COUNTIF($ET$26:$ET$114,BQ34)+COUNTIF($Z$26:$Z$114,BQ34)+COUNTIF($AI$26:$AI$114,BQ34)+COUNTIF($AR$26:$AR$114,BQ34)+COUNTIF($AY$26:$AY$114,BQ34)+COUNTIF($BH$26:$BH$114,BQ34)+COUNTIF($BQ$26:$BQ$114,BQ34)+COUNTIF($BZ$26:$BZ$114,BQ34)+COUNTIF($CI$26:$CI$114,BQ34)+COUNTIF($CR$26:$CR$114,BQ34)+COUNTIF($DA$26:$DA$114,BQ34)+COUNTIF($DJ$26:$DJ$114,BQ34)+COUNTIF($DS$26:$DS$114,BQ34)+COUNTIF($EB$26:$EB$114,BQ34)+COUNTIF($EK$26:$EK$114,BQ34)+COUNTIF($I$69:$I$100,BQ34)-1)</f>
        <v>0</v>
      </c>
      <c r="BS34" s="98"/>
      <c r="BT34" s="98"/>
      <c r="BU34" s="98"/>
      <c r="BV34" s="98"/>
      <c r="BW34" s="98"/>
      <c r="BX34" s="98"/>
      <c r="BY34" s="98"/>
      <c r="BZ34" s="98"/>
      <c r="CA34" s="98"/>
      <c r="CB34" s="98"/>
      <c r="CC34" s="98"/>
      <c r="CD34" s="98"/>
      <c r="CE34" s="98"/>
      <c r="CF34" s="98"/>
      <c r="CG34" s="98"/>
      <c r="CH34" s="98"/>
      <c r="CI34" s="98"/>
      <c r="CJ34" s="98"/>
      <c r="CK34" s="98"/>
      <c r="CL34" s="98"/>
      <c r="CM34" s="98"/>
      <c r="CN34" s="98"/>
      <c r="CO34" s="98"/>
      <c r="CP34" s="98"/>
      <c r="CQ34" s="98"/>
      <c r="CR34" s="98"/>
      <c r="CS34" s="98"/>
      <c r="CT34" s="98"/>
      <c r="CU34" s="98"/>
      <c r="CV34" s="98"/>
      <c r="CW34" s="98"/>
      <c r="CX34" s="98"/>
      <c r="CY34" s="98"/>
      <c r="CZ34" s="98"/>
      <c r="DA34" s="98"/>
      <c r="DB34" s="98"/>
      <c r="DC34" s="98"/>
      <c r="DD34" s="98"/>
      <c r="DE34" s="98"/>
      <c r="DF34" s="98"/>
      <c r="DG34" s="98"/>
      <c r="DH34" s="98"/>
      <c r="DI34" s="98"/>
      <c r="DJ34" s="98"/>
      <c r="DK34" s="98"/>
      <c r="DL34" s="98"/>
      <c r="DM34" s="98"/>
      <c r="DN34" s="98"/>
      <c r="DO34" s="98"/>
      <c r="DP34" s="98"/>
      <c r="DQ34" s="98"/>
      <c r="DR34" s="98"/>
      <c r="DS34" s="98"/>
      <c r="DT34" s="98"/>
      <c r="DU34" s="98"/>
      <c r="DV34" s="98"/>
      <c r="DW34" s="98"/>
      <c r="DX34" s="98"/>
      <c r="DY34" s="98"/>
      <c r="DZ34" s="98"/>
      <c r="EA34" s="98"/>
      <c r="EB34" s="98"/>
      <c r="EC34" s="98"/>
      <c r="ED34" s="98"/>
      <c r="EE34" s="98"/>
      <c r="EF34" s="98"/>
      <c r="EG34" s="98"/>
      <c r="EH34" s="98"/>
      <c r="EI34" s="98"/>
      <c r="EJ34" s="98"/>
      <c r="EK34" s="98"/>
      <c r="EL34" s="98"/>
      <c r="EM34" s="93"/>
      <c r="EN34" s="129"/>
      <c r="EO34" s="330"/>
      <c r="EP34" s="15" t="s">
        <v>259</v>
      </c>
      <c r="EQ34" s="63">
        <v>7</v>
      </c>
      <c r="ER34" s="63">
        <v>2</v>
      </c>
      <c r="ES34" s="63" t="s">
        <v>260</v>
      </c>
      <c r="ET34" s="14" t="str">
        <f>IF(ER34=99,"", CONCATENATE("10.0.",TEXT(((BITWISE_AND('IP Address (no mod)'!$D$20,ES$22)/4)+ER34*8),"0"),".",TEXT((BITWISE_AND('IP Address (no mod)'!$D$21,ES$22)*64)+EO$26*10+EQ34,"0")))</f>
        <v>10.0.16.71</v>
      </c>
      <c r="EU34" s="100">
        <f>IF(ET34="",0,COUNTIF($ET$26:$ET$114,ET34)+COUNTIF($Z$26:$Z$114,ET34)+COUNTIF($AI$26:$AI$114,ET34)+COUNTIF($AR$26:$AR$114,ET34)+COUNTIF($AY$26:$AY$114,ET34)+COUNTIF($BH$26:$BH$114,ET34)+COUNTIF($BQ$26:$BQ$114,ET34)+COUNTIF($BZ$26:$BZ$114,ET34)+COUNTIF($CI$26:$CI$114,ET34)+COUNTIF($CR$26:$CR$114,ET34)+COUNTIF($DA$26:$DA$114,ET34)+COUNTIF($DJ$26:$DJ$114,ET34)+COUNTIF($DS$26:$DS$114,ET34)+COUNTIF($EB$26:$EB$114,ET34)+COUNTIF($EK$26:$EK$114,ET34)+COUNTIF($I$69:$I$100,ET34)-1)</f>
        <v>0</v>
      </c>
      <c r="EV34" s="95"/>
    </row>
    <row r="35" spans="1:152">
      <c r="A35" s="342"/>
      <c r="B35" s="98"/>
      <c r="C35" s="55"/>
      <c r="D35" s="330"/>
      <c r="E35" s="8" t="s">
        <v>263</v>
      </c>
      <c r="F35" s="8">
        <v>8</v>
      </c>
      <c r="G35" s="8">
        <v>0</v>
      </c>
      <c r="H35" s="8" t="s">
        <v>462</v>
      </c>
      <c r="I35" s="8" t="str">
        <f>IF(G35=99,"", CONCATENATE("10.0.",TEXT(((BITWISE_AND('IP Address (no mod)'!$D$20,H$22)/4)+G35*8),"0"),".",TEXT((BITWISE_AND('IP Address (no mod)'!$D$21,H$22)*64)+D$26*10+F35,"0")))</f>
        <v>10.0.0.72</v>
      </c>
      <c r="J35" s="178">
        <f>IF(I35="",0,COUNTIF($ET$26:$ET$114,I35)+COUNTIF($Z$26:$Z$114,I35)+COUNTIF($AI$26:$AI$114,I35)+COUNTIF($AR$26:$AR$114,I35)+COUNTIF($AY$26:$AY$114,I35)+COUNTIF($BH$26:$BH$114,I35)+COUNTIF($BQ$26:$BQ$114,I35)+COUNTIF($BZ$26:$BZ$114,I35)+COUNTIF($CI$26:$CI$114,I35)+COUNTIF($CR$26:$CR$114,I35)+COUNTIF($DA$26:$DA$114,I35)+COUNTIF($DJ$26:$DJ$114,I35)+COUNTIF($DS$26:$DS$114,I35)+COUNTIF($EB$26:$EB$114,I35)+COUNTIF($EK$26:$EK$114,I35)+COUNTIF($I$26:$I$100,I35)+COUNTIF($Q$26:$Q$114,I35)-1)</f>
        <v>0</v>
      </c>
      <c r="K35" s="219"/>
      <c r="L35" s="330"/>
      <c r="M35" s="205" t="s">
        <v>263</v>
      </c>
      <c r="N35" s="2">
        <v>8</v>
      </c>
      <c r="O35" s="2">
        <v>0</v>
      </c>
      <c r="P35" s="206"/>
      <c r="Q35" s="206"/>
      <c r="R35" s="178">
        <f>IF(Q35="",0,COUNTIF($ET$26:$ET$114,Q35)+COUNTIF($Z$26:$Z$114,Q35)+COUNTIF($AI$26:$AI$114,Q35)+COUNTIF($AR$26:$AR$114,Q35)+COUNTIF($AY$26:$AY$114,Q35)+COUNTIF($BH$26:$BH$114,Q35)+COUNTIF($BQ$26:$BQ$114,Q35)+COUNTIF($BZ$26:$BZ$114,Q35)+COUNTIF($CI$26:$CI$114,Q35)+COUNTIF($CR$26:$CR$114,Q35)+COUNTIF($DA$26:$DA$114,Q35)+COUNTIF($DJ$26:$DJ$114,Q35)+COUNTIF($DS$26:$DS$114,Q35)+COUNTIF($EB$26:$EB$114,Q35)+COUNTIF($EK$26:$EK$114,Q35)+COUNTIF($I$26:$I$100,Q35)+COUNTIF($Q$26:$Q$114,Q35)-1)</f>
        <v>0</v>
      </c>
      <c r="S35" s="95"/>
      <c r="T35" s="219"/>
      <c r="U35" s="330"/>
      <c r="V35" s="8" t="s">
        <v>263</v>
      </c>
      <c r="W35" s="8">
        <v>8</v>
      </c>
      <c r="X35" s="8">
        <v>99</v>
      </c>
      <c r="Y35" s="8"/>
      <c r="Z35" s="5" t="str">
        <f>IF(X35=99,"", CONCATENATE("10.0.",TEXT(((BITWISE_AND('IP Address (no mod)'!$D$20,Y$22)/4)+X35*8),"0"),".",TEXT((BITWISE_AND('IP Address (no mod)'!$D$21,Y$22)*64)+U$26*10+W35,"0")))</f>
        <v/>
      </c>
      <c r="AA35" s="100">
        <f>IF(Z35="",0,COUNTIF($ET$26:$ET$114,Z35)+COUNTIF($Z$26:$Z$114,Z35)+COUNTIF($AI$26:$AI$114,Z35)+COUNTIF($AR$26:$AR$114,Z35)+COUNTIF($AY$26:$AY$114,Z35)+COUNTIF($BH$26:$BH$114,Z35)+COUNTIF($BQ$26:$BQ$114,Z35)+COUNTIF($BZ$26:$BZ$114,Z35)+COUNTIF($CI$26:$CI$114,Z35)+COUNTIF($CR$26:$CR$114,Z35)+COUNTIF($DA$26:$DA$114,Z35)+COUNTIF($DJ$26:$DJ$114,Z35)+COUNTIF($DS$26:$DS$114,Z35)+COUNTIF($EB$26:$EB$114,Z35)+COUNTIF($EK$26:$EK$114,Z35)+COUNTIF($I$69:$I$100,Z35)-1)</f>
        <v>0</v>
      </c>
      <c r="AB35" s="98"/>
      <c r="AC35" s="98"/>
      <c r="AD35" s="98"/>
      <c r="AE35" s="98"/>
      <c r="AF35" s="98"/>
      <c r="AG35" s="98"/>
      <c r="AH35" s="98"/>
      <c r="AI35" s="98"/>
      <c r="AJ35" s="98"/>
      <c r="AK35" s="98"/>
      <c r="AL35" s="55"/>
      <c r="AM35" s="330"/>
      <c r="AN35" s="8" t="s">
        <v>263</v>
      </c>
      <c r="AO35" s="8">
        <v>8</v>
      </c>
      <c r="AP35" s="8"/>
      <c r="AQ35" s="2" t="s">
        <v>265</v>
      </c>
      <c r="AR35" s="5"/>
      <c r="AS35" s="100">
        <f>IF(AR35="",0,COUNTIF($ET$26:$ET$114,AR35)+COUNTIF($Z$26:$Z$114,AR35)+COUNTIF($AI$26:$AI$114,AR35)+COUNTIF($AR$26:$AR$114,AR35)+COUNTIF($AY$26:$AY$114,AR35)+COUNTIF($BH$26:$BH$114,AR35)+COUNTIF($BQ$26:$BQ$114,AR35)+COUNTIF($BZ$26:$BZ$114,AR35)+COUNTIF($CI$26:$CI$114,AR35)+COUNTIF($CR$26:$CR$114,AR35)+COUNTIF($DA$26:$DA$114,AR35)+COUNTIF($DJ$26:$DJ$114,AR35)+COUNTIF($DS$26:$DS$114,AR35)+COUNTIF($EB$26:$EB$114,AR35)+COUNTIF($EK$26:$EK$114,AR35)+COUNTIF($I$69:$I$100,AR35)-1)</f>
        <v>0</v>
      </c>
      <c r="AT35" s="330"/>
      <c r="AU35" s="8" t="s">
        <v>263</v>
      </c>
      <c r="AV35" s="2">
        <v>8</v>
      </c>
      <c r="AW35" s="70">
        <v>99</v>
      </c>
      <c r="AX35" s="78"/>
      <c r="AY35" s="5" t="str">
        <f>IF(AW35=99,"", CONCATENATE("10.0.",TEXT(((BITWISE_AND('IP Address (no mod)'!$D$20,AQ$22)/4)+AW35*8),"0"),".",TEXT((BITWISE_AND('IP Address (no mod)'!$D$21,AQ$22)*64)+AT$26*10+AV35,"0")))</f>
        <v/>
      </c>
      <c r="AZ35" s="100">
        <f>IF(AY35="",0,COUNTIF($ET$26:$ET$114,AY35)+COUNTIF($Z$26:$Z$114,AY35)+COUNTIF($AI$26:$AI$114,AY35)+COUNTIF($AR$26:$AR$114,AY35)+COUNTIF($AY$26:$AY$114,AY35)+COUNTIF($BH$26:$BH$114,AY35)+COUNTIF($BQ$26:$BQ$114,AY35)+COUNTIF($BZ$26:$BZ$114,AY35)+COUNTIF($CI$26:$CI$114,AY35)+COUNTIF($CR$26:$CR$114,AY35)+COUNTIF($DA$26:$DA$114,AY35)+COUNTIF($DJ$26:$DJ$114,AY35)+COUNTIF($DS$26:$DS$114,AY35)+COUNTIF($EB$26:$EB$114,AY35)+COUNTIF($EK$26:$EK$114,AY35)+COUNTIF($I$69:$I$100,AY35)-1)</f>
        <v>0</v>
      </c>
      <c r="BA35" s="98"/>
      <c r="BB35" s="55"/>
      <c r="BC35" s="330"/>
      <c r="BD35" s="8" t="s">
        <v>263</v>
      </c>
      <c r="BE35" s="8">
        <v>8</v>
      </c>
      <c r="BF35" s="8">
        <v>99</v>
      </c>
      <c r="BG35" s="8"/>
      <c r="BH35" s="5" t="str">
        <f>IF(BF35=99,"", CONCATENATE("10.0.",TEXT(((BITWISE_AND('IP Address (no mod)'!$D$20,BG$22)/4)+BF35*8),"0"),".",TEXT((BITWISE_AND('IP Address (no mod)'!$D$21,BG$22)*64)+BC$26*10+BE35,"0")))</f>
        <v/>
      </c>
      <c r="BI35" s="100">
        <f>IF(BH35="",0,COUNTIF($ET$26:$ET$114,BH35)+COUNTIF($Z$26:$Z$114,BH35)+COUNTIF($AI$26:$AI$114,BH35)+COUNTIF($AR$26:$AR$114,BH35)+COUNTIF($AY$26:$AY$114,BH35)+COUNTIF($BH$26:$BH$114,BH35)+COUNTIF($BQ$26:$BQ$114,BH35)+COUNTIF($BZ$26:$BZ$114,BH35)+COUNTIF($CI$26:$CI$114,BH35)+COUNTIF($CR$26:$CR$114,BH35)+COUNTIF($DA$26:$DA$114,BH35)+COUNTIF($DJ$26:$DJ$114,BH35)+COUNTIF($DS$26:$DS$114,BH35)+COUNTIF($EB$26:$EB$114,BH35)+COUNTIF($EK$26:$EK$114,BH35)+COUNTIF($I$69:$I$100,BH35)-1)</f>
        <v>0</v>
      </c>
      <c r="BJ35" s="98"/>
      <c r="BK35" s="55"/>
      <c r="BL35" s="330"/>
      <c r="BM35" s="8" t="s">
        <v>263</v>
      </c>
      <c r="BN35" s="8">
        <v>8</v>
      </c>
      <c r="BO35" s="8">
        <v>99</v>
      </c>
      <c r="BP35" s="8"/>
      <c r="BQ35" s="5" t="str">
        <f>IF(BO35=99,"", CONCATENATE("10.0.",TEXT(((BITWISE_AND('IP Address (no mod)'!$D$20,BP$22)/4)+BO35*8),"0"),".",TEXT((BITWISE_AND('IP Address (no mod)'!$D$21,BP$22)*64)+BL$26*10+BN35,"0")))</f>
        <v/>
      </c>
      <c r="BR35" s="100">
        <f>IF(BQ35="",0,COUNTIF($ET$26:$ET$114,BQ35)+COUNTIF($Z$26:$Z$114,BQ35)+COUNTIF($AI$26:$AI$114,BQ35)+COUNTIF($AR$26:$AR$114,BQ35)+COUNTIF($AY$26:$AY$114,BQ35)+COUNTIF($BH$26:$BH$114,BQ35)+COUNTIF($BQ$26:$BQ$114,BQ35)+COUNTIF($BZ$26:$BZ$114,BQ35)+COUNTIF($CI$26:$CI$114,BQ35)+COUNTIF($CR$26:$CR$114,BQ35)+COUNTIF($DA$26:$DA$114,BQ35)+COUNTIF($DJ$26:$DJ$114,BQ35)+COUNTIF($DS$26:$DS$114,BQ35)+COUNTIF($EB$26:$EB$114,BQ35)+COUNTIF($EK$26:$EK$114,BQ35)+COUNTIF($I$69:$I$100,BQ35)-1)</f>
        <v>0</v>
      </c>
      <c r="BS35" s="98"/>
      <c r="BT35" s="98"/>
      <c r="BU35" s="98"/>
      <c r="BV35" s="98"/>
      <c r="BW35" s="98"/>
      <c r="BX35" s="98"/>
      <c r="BY35" s="98"/>
      <c r="BZ35" s="98"/>
      <c r="CA35" s="98"/>
      <c r="CB35" s="98"/>
      <c r="CC35" s="98"/>
      <c r="CD35" s="98"/>
      <c r="CE35" s="98"/>
      <c r="CF35" s="98"/>
      <c r="CG35" s="98"/>
      <c r="CH35" s="98"/>
      <c r="CI35" s="98"/>
      <c r="CJ35" s="98"/>
      <c r="CK35" s="98"/>
      <c r="CL35" s="98"/>
      <c r="CM35" s="98"/>
      <c r="CN35" s="98"/>
      <c r="CO35" s="98"/>
      <c r="CP35" s="98"/>
      <c r="CQ35" s="98"/>
      <c r="CR35" s="98"/>
      <c r="CS35" s="98"/>
      <c r="CT35" s="98"/>
      <c r="CU35" s="98"/>
      <c r="CV35" s="98"/>
      <c r="CW35" s="98"/>
      <c r="CX35" s="98"/>
      <c r="CY35" s="98"/>
      <c r="CZ35" s="98"/>
      <c r="DA35" s="98"/>
      <c r="DB35" s="98"/>
      <c r="DC35" s="98"/>
      <c r="DD35" s="98"/>
      <c r="DE35" s="98"/>
      <c r="DF35" s="98"/>
      <c r="DG35" s="98"/>
      <c r="DH35" s="98"/>
      <c r="DI35" s="98"/>
      <c r="DJ35" s="98"/>
      <c r="DK35" s="98"/>
      <c r="DL35" s="98"/>
      <c r="DM35" s="98"/>
      <c r="DN35" s="98"/>
      <c r="DO35" s="98"/>
      <c r="DP35" s="98"/>
      <c r="DQ35" s="98"/>
      <c r="DR35" s="98"/>
      <c r="DS35" s="98"/>
      <c r="DT35" s="98"/>
      <c r="DU35" s="98"/>
      <c r="DV35" s="98"/>
      <c r="DW35" s="98"/>
      <c r="DX35" s="98"/>
      <c r="DY35" s="98"/>
      <c r="DZ35" s="98"/>
      <c r="EA35" s="98"/>
      <c r="EB35" s="98"/>
      <c r="EC35" s="98"/>
      <c r="ED35" s="98"/>
      <c r="EE35" s="98"/>
      <c r="EF35" s="98"/>
      <c r="EG35" s="98"/>
      <c r="EH35" s="98"/>
      <c r="EI35" s="98"/>
      <c r="EJ35" s="98"/>
      <c r="EK35" s="98"/>
      <c r="EL35" s="98"/>
      <c r="EM35" s="93"/>
      <c r="EN35" s="129"/>
      <c r="EO35" s="330"/>
      <c r="EP35" s="8" t="s">
        <v>263</v>
      </c>
      <c r="EQ35" s="8">
        <v>8</v>
      </c>
      <c r="ER35" s="8">
        <v>99</v>
      </c>
      <c r="ES35" s="235" t="s">
        <v>264</v>
      </c>
      <c r="ET35" s="235"/>
      <c r="EU35" s="100">
        <f>IF(ET35="",0,COUNTIF($ET$26:$ET$114,ET35)+COUNTIF($Z$26:$Z$114,ET35)+COUNTIF($AI$26:$AI$114,ET35)+COUNTIF($AR$26:$AR$114,ET35)+COUNTIF($AY$26:$AY$114,ET35)+COUNTIF($BH$26:$BH$114,ET35)+COUNTIF($BQ$26:$BQ$114,ET35)+COUNTIF($BZ$26:$BZ$114,ET35)+COUNTIF($CI$26:$CI$114,ET35)+COUNTIF($CR$26:$CR$114,ET35)+COUNTIF($DA$26:$DA$114,ET35)+COUNTIF($DJ$26:$DJ$114,ET35)+COUNTIF($DS$26:$DS$114,ET35)+COUNTIF($EB$26:$EB$114,ET35)+COUNTIF($EK$26:$EK$114,ET35)+COUNTIF($I$69:$I$100,ET35)-1)</f>
        <v>0</v>
      </c>
      <c r="EV35" s="95"/>
    </row>
    <row r="36" spans="1:152" ht="15.75" customHeight="1" thickBot="1">
      <c r="A36" s="342"/>
      <c r="B36" s="98"/>
      <c r="C36" s="55"/>
      <c r="D36" s="330"/>
      <c r="E36" s="70" t="s">
        <v>266</v>
      </c>
      <c r="F36" s="70">
        <v>9</v>
      </c>
      <c r="G36" s="70">
        <v>3</v>
      </c>
      <c r="H36" s="254"/>
      <c r="I36" s="252"/>
      <c r="J36" s="178">
        <f>IF(I36="",0,COUNTIF($ET$26:$ET$114,I36)+COUNTIF($Z$26:$Z$114,I36)+COUNTIF($AI$26:$AI$114,I36)+COUNTIF($AR$26:$AR$114,I36)+COUNTIF($AY$26:$AY$114,I36)+COUNTIF($BH$26:$BH$114,I36)+COUNTIF($BQ$26:$BQ$114,I36)+COUNTIF($BZ$26:$BZ$114,I36)+COUNTIF($CI$26:$CI$114,I36)+COUNTIF($CR$26:$CR$114,I36)+COUNTIF($DA$26:$DA$114,I36)+COUNTIF($DJ$26:$DJ$114,I36)+COUNTIF($DS$26:$DS$114,I36)+COUNTIF($EB$26:$EB$114,I36)+COUNTIF($EK$26:$EK$114,I36)+COUNTIF($I$26:$I$100,I36)+COUNTIF($Q$26:$Q$114,I36)-1)</f>
        <v>0</v>
      </c>
      <c r="K36" s="219"/>
      <c r="L36" s="330"/>
      <c r="M36" s="239" t="s">
        <v>266</v>
      </c>
      <c r="N36" s="240">
        <v>9</v>
      </c>
      <c r="O36" s="240">
        <v>0</v>
      </c>
      <c r="P36" s="240" t="s">
        <v>462</v>
      </c>
      <c r="Q36" s="241" t="str">
        <f>IF(O36=99,"", CONCATENATE("10.0.",TEXT(((BITWISE_AND('IP Address (no mod)'!$D$20,H$22)/4)+O36*8),"0"),".",TEXT((BITWISE_AND('IP Address (no mod)'!$D$21,H$22)*64)+L$26*10+N36,"0")))</f>
        <v>10.0.0.113</v>
      </c>
      <c r="R36" s="178">
        <f>IF(Q36="",0,COUNTIF($ET$26:$ET$114,Q36)+COUNTIF($Z$26:$Z$114,Q36)+COUNTIF($AI$26:$AI$114,Q36)+COUNTIF($AR$26:$AR$114,Q36)+COUNTIF($AY$26:$AY$114,Q36)+COUNTIF($BH$26:$BH$114,Q36)+COUNTIF($BQ$26:$BQ$114,Q36)+COUNTIF($BZ$26:$BZ$114,Q36)+COUNTIF($CI$26:$CI$114,Q36)+COUNTIF($CR$26:$CR$114,Q36)+COUNTIF($DA$26:$DA$114,Q36)+COUNTIF($DJ$26:$DJ$114,Q36)+COUNTIF($DS$26:$DS$114,Q36)+COUNTIF($EB$26:$EB$114,Q36)+COUNTIF($EK$26:$EK$114,Q36)+COUNTIF($I$26:$I$100,Q36)+COUNTIF($Q$26:$Q$114,Q36)-1)</f>
        <v>0</v>
      </c>
      <c r="S36" s="95"/>
      <c r="T36" s="219"/>
      <c r="U36" s="331"/>
      <c r="V36" s="9" t="s">
        <v>266</v>
      </c>
      <c r="W36" s="9">
        <v>9</v>
      </c>
      <c r="X36" s="9">
        <v>99</v>
      </c>
      <c r="Y36" s="50"/>
      <c r="Z36" s="7" t="str">
        <f>IF(X36=99,"", CONCATENATE("10.0.",TEXT(((BITWISE_AND('IP Address (no mod)'!$D$20,Y$22)/4)+X36*8),"0"),".",TEXT((BITWISE_AND('IP Address (no mod)'!$D$21,Y$22)*64)+U$26*10+W36,"0")))</f>
        <v/>
      </c>
      <c r="AA36" s="100">
        <f>IF(Z36="",0,COUNTIF($ET$26:$ET$114,Z36)+COUNTIF($Z$26:$Z$114,Z36)+COUNTIF($AI$26:$AI$114,Z36)+COUNTIF($AR$26:$AR$114,Z36)+COUNTIF($AY$26:$AY$114,Z36)+COUNTIF($BH$26:$BH$114,Z36)+COUNTIF($BQ$26:$BQ$114,Z36)+COUNTIF($BZ$26:$BZ$114,Z36)+COUNTIF($CI$26:$CI$114,Z36)+COUNTIF($CR$26:$CR$114,Z36)+COUNTIF($DA$26:$DA$114,Z36)+COUNTIF($DJ$26:$DJ$114,Z36)+COUNTIF($DS$26:$DS$114,Z36)+COUNTIF($EB$26:$EB$114,Z36)+COUNTIF($EK$26:$EK$114,Z36)+COUNTIF($I$69:$I$100,Z36)-1)</f>
        <v>0</v>
      </c>
      <c r="AB36" s="98"/>
      <c r="AC36" s="98"/>
      <c r="AD36" s="98"/>
      <c r="AE36" s="98"/>
      <c r="AF36" s="98"/>
      <c r="AG36" s="98"/>
      <c r="AH36" s="98"/>
      <c r="AI36" s="98"/>
      <c r="AJ36" s="98"/>
      <c r="AK36" s="98"/>
      <c r="AL36" s="55"/>
      <c r="AM36" s="331"/>
      <c r="AN36" s="9" t="s">
        <v>266</v>
      </c>
      <c r="AO36" s="9">
        <v>9</v>
      </c>
      <c r="AP36" s="9">
        <v>99</v>
      </c>
      <c r="AQ36" s="50"/>
      <c r="AR36" s="7" t="str">
        <f>IF(AP36=99,"", CONCATENATE("10.0.",TEXT(((BITWISE_AND('IP Address (no mod)'!$D$20,AQ$22)/4)+AP36*8),"0"),".",TEXT((BITWISE_AND('IP Address (no mod)'!$D$21,AQ$22)*64)+AM$26*10+AO36,"0")))</f>
        <v/>
      </c>
      <c r="AS36" s="100">
        <f>IF(AR36="",0,COUNTIF($ET$26:$ET$114,AR36)+COUNTIF($Z$26:$Z$114,AR36)+COUNTIF($AI$26:$AI$114,AR36)+COUNTIF($AR$26:$AR$114,AR36)+COUNTIF($AY$26:$AY$114,AR36)+COUNTIF($BH$26:$BH$114,AR36)+COUNTIF($BQ$26:$BQ$114,AR36)+COUNTIF($BZ$26:$BZ$114,AR36)+COUNTIF($CI$26:$CI$114,AR36)+COUNTIF($CR$26:$CR$114,AR36)+COUNTIF($DA$26:$DA$114,AR36)+COUNTIF($DJ$26:$DJ$114,AR36)+COUNTIF($DS$26:$DS$114,AR36)+COUNTIF($EB$26:$EB$114,AR36)+COUNTIF($EK$26:$EK$114,AR36)+COUNTIF($I$69:$I$100,AR36)-1)</f>
        <v>0</v>
      </c>
      <c r="AT36" s="330"/>
      <c r="AU36" s="8" t="s">
        <v>266</v>
      </c>
      <c r="AV36" s="2">
        <v>9</v>
      </c>
      <c r="AW36" s="2">
        <v>99</v>
      </c>
      <c r="AX36" s="2"/>
      <c r="AY36" s="5" t="str">
        <f>IF(AW36=99,"", CONCATENATE("10.0.",TEXT(((BITWISE_AND('IP Address (no mod)'!$D$20,AQ$22)/4)+AW36*8),"0"),".",TEXT((BITWISE_AND('IP Address (no mod)'!$D$21,AQ$22)*64)+AT$26*10+AV36,"0")))</f>
        <v/>
      </c>
      <c r="AZ36" s="100">
        <f>IF(AY36="",0,COUNTIF($ET$26:$ET$114,AY36)+COUNTIF($Z$26:$Z$114,AY36)+COUNTIF($AI$26:$AI$114,AY36)+COUNTIF($AR$26:$AR$114,AY36)+COUNTIF($AY$26:$AY$114,AY36)+COUNTIF($BH$26:$BH$114,AY36)+COUNTIF($BQ$26:$BQ$114,AY36)+COUNTIF($BZ$26:$BZ$114,AY36)+COUNTIF($CI$26:$CI$114,AY36)+COUNTIF($CR$26:$CR$114,AY36)+COUNTIF($DA$26:$DA$114,AY36)+COUNTIF($DJ$26:$DJ$114,AY36)+COUNTIF($DS$26:$DS$114,AY36)+COUNTIF($EB$26:$EB$114,AY36)+COUNTIF($EK$26:$EK$114,AY36)+COUNTIF($I$69:$I$100,AY36)-1)</f>
        <v>0</v>
      </c>
      <c r="BA36" s="98"/>
      <c r="BB36" s="55"/>
      <c r="BC36" s="331"/>
      <c r="BD36" s="9" t="s">
        <v>266</v>
      </c>
      <c r="BE36" s="9">
        <v>9</v>
      </c>
      <c r="BF36" s="9">
        <v>99</v>
      </c>
      <c r="BG36" s="50"/>
      <c r="BH36" s="7" t="str">
        <f>IF(BF36=99,"", CONCATENATE("10.0.",TEXT(((BITWISE_AND('IP Address (no mod)'!$D$20,BG$22)/4)+BF36*8),"0"),".",TEXT((BITWISE_AND('IP Address (no mod)'!$D$21,BG$22)*64)+BC$26*10+BE36,"0")))</f>
        <v/>
      </c>
      <c r="BI36" s="100">
        <f>IF(BH36="",0,COUNTIF($ET$26:$ET$114,BH36)+COUNTIF($Z$26:$Z$114,BH36)+COUNTIF($AI$26:$AI$114,BH36)+COUNTIF($AR$26:$AR$114,BH36)+COUNTIF($AY$26:$AY$114,BH36)+COUNTIF($BH$26:$BH$114,BH36)+COUNTIF($BQ$26:$BQ$114,BH36)+COUNTIF($BZ$26:$BZ$114,BH36)+COUNTIF($CI$26:$CI$114,BH36)+COUNTIF($CR$26:$CR$114,BH36)+COUNTIF($DA$26:$DA$114,BH36)+COUNTIF($DJ$26:$DJ$114,BH36)+COUNTIF($DS$26:$DS$114,BH36)+COUNTIF($EB$26:$EB$114,BH36)+COUNTIF($EK$26:$EK$114,BH36)+COUNTIF($I$69:$I$100,BH36)-1)</f>
        <v>0</v>
      </c>
      <c r="BJ36" s="98"/>
      <c r="BK36" s="55"/>
      <c r="BL36" s="331"/>
      <c r="BM36" s="9" t="s">
        <v>266</v>
      </c>
      <c r="BN36" s="9">
        <v>9</v>
      </c>
      <c r="BO36" s="9">
        <v>99</v>
      </c>
      <c r="BP36" s="50"/>
      <c r="BQ36" s="7" t="str">
        <f>IF(BO36=99,"", CONCATENATE("10.0.",TEXT(((BITWISE_AND('IP Address (no mod)'!$D$20,BP$22)/4)+BO36*8),"0"),".",TEXT((BITWISE_AND('IP Address (no mod)'!$D$21,BP$22)*64)+BL$26*10+BN36,"0")))</f>
        <v/>
      </c>
      <c r="BR36" s="100">
        <f>IF(BQ36="",0,COUNTIF($ET$26:$ET$114,BQ36)+COUNTIF($Z$26:$Z$114,BQ36)+COUNTIF($AI$26:$AI$114,BQ36)+COUNTIF($AR$26:$AR$114,BQ36)+COUNTIF($AY$26:$AY$114,BQ36)+COUNTIF($BH$26:$BH$114,BQ36)+COUNTIF($BQ$26:$BQ$114,BQ36)+COUNTIF($BZ$26:$BZ$114,BQ36)+COUNTIF($CI$26:$CI$114,BQ36)+COUNTIF($CR$26:$CR$114,BQ36)+COUNTIF($DA$26:$DA$114,BQ36)+COUNTIF($DJ$26:$DJ$114,BQ36)+COUNTIF($DS$26:$DS$114,BQ36)+COUNTIF($EB$26:$EB$114,BQ36)+COUNTIF($EK$26:$EK$114,BQ36)+COUNTIF($I$69:$I$100,BQ36)-1)</f>
        <v>0</v>
      </c>
      <c r="BS36" s="98"/>
      <c r="BT36" s="98"/>
      <c r="BU36" s="98"/>
      <c r="BV36" s="98"/>
      <c r="BW36" s="98"/>
      <c r="BX36" s="98"/>
      <c r="BY36" s="98"/>
      <c r="BZ36" s="98"/>
      <c r="CA36" s="98"/>
      <c r="CB36" s="98"/>
      <c r="CC36" s="98"/>
      <c r="CD36" s="98"/>
      <c r="CE36" s="98"/>
      <c r="CF36" s="98"/>
      <c r="CG36" s="98"/>
      <c r="CH36" s="98"/>
      <c r="CI36" s="98"/>
      <c r="CJ36" s="98"/>
      <c r="CK36" s="98"/>
      <c r="CL36" s="98"/>
      <c r="CM36" s="98"/>
      <c r="CN36" s="98"/>
      <c r="CO36" s="98"/>
      <c r="CP36" s="98"/>
      <c r="CQ36" s="98"/>
      <c r="CR36" s="98"/>
      <c r="CS36" s="98"/>
      <c r="CT36" s="98"/>
      <c r="CU36" s="98"/>
      <c r="CV36" s="98"/>
      <c r="CW36" s="98"/>
      <c r="CX36" s="98"/>
      <c r="CY36" s="98"/>
      <c r="CZ36" s="98"/>
      <c r="DA36" s="98"/>
      <c r="DB36" s="98"/>
      <c r="DC36" s="98"/>
      <c r="DD36" s="98"/>
      <c r="DE36" s="98"/>
      <c r="DF36" s="98"/>
      <c r="DG36" s="98"/>
      <c r="DH36" s="98"/>
      <c r="DI36" s="98"/>
      <c r="DJ36" s="98"/>
      <c r="DK36" s="98"/>
      <c r="DL36" s="98"/>
      <c r="DM36" s="98"/>
      <c r="DN36" s="98"/>
      <c r="DO36" s="98"/>
      <c r="DP36" s="98"/>
      <c r="DQ36" s="98"/>
      <c r="DR36" s="98"/>
      <c r="DS36" s="98"/>
      <c r="DT36" s="98"/>
      <c r="DU36" s="98"/>
      <c r="DV36" s="98"/>
      <c r="DW36" s="98"/>
      <c r="DX36" s="98"/>
      <c r="DY36" s="98"/>
      <c r="DZ36" s="98"/>
      <c r="EA36" s="98"/>
      <c r="EB36" s="98"/>
      <c r="EC36" s="98"/>
      <c r="ED36" s="98"/>
      <c r="EE36" s="98"/>
      <c r="EF36" s="98"/>
      <c r="EG36" s="98"/>
      <c r="EH36" s="98"/>
      <c r="EI36" s="98"/>
      <c r="EJ36" s="98"/>
      <c r="EK36" s="98"/>
      <c r="EL36" s="98"/>
      <c r="EM36" s="93"/>
      <c r="EN36" s="129"/>
      <c r="EO36" s="331"/>
      <c r="EP36" s="9" t="s">
        <v>266</v>
      </c>
      <c r="EQ36" s="9">
        <v>9</v>
      </c>
      <c r="ER36" s="9">
        <v>3</v>
      </c>
      <c r="ES36" s="68" t="s">
        <v>267</v>
      </c>
      <c r="ET36" s="7" t="str">
        <f>IF(ER36=99,"", CONCATENATE("10.0.",TEXT(((BITWISE_AND('IP Address (no mod)'!$D$20,ES$22)/4)+ER36*8),"0"),".",TEXT((BITWISE_AND('IP Address (no mod)'!$D$21,ES$22)*64)+EO$26*10+EQ36,"0")))</f>
        <v>10.0.24.73</v>
      </c>
      <c r="EU36" s="100">
        <f>IF(ET36="",0,COUNTIF($ET$26:$ET$114,ET36)+COUNTIF($Z$26:$Z$114,ET36)+COUNTIF($AI$26:$AI$114,ET36)+COUNTIF($AR$26:$AR$114,ET36)+COUNTIF($AY$26:$AY$114,ET36)+COUNTIF($BH$26:$BH$114,ET36)+COUNTIF($BQ$26:$BQ$114,ET36)+COUNTIF($BZ$26:$BZ$114,ET36)+COUNTIF($CI$26:$CI$114,ET36)+COUNTIF($CR$26:$CR$114,ET36)+COUNTIF($DA$26:$DA$114,ET36)+COUNTIF($DJ$26:$DJ$114,ET36)+COUNTIF($DS$26:$DS$114,ET36)+COUNTIF($EB$26:$EB$114,ET36)+COUNTIF($EK$26:$EK$114,ET36)+COUNTIF($I$69:$I$100,ET36)-1)</f>
        <v>0</v>
      </c>
      <c r="EV36" s="95"/>
    </row>
    <row r="37" spans="1:152" ht="15.75" thickBot="1">
      <c r="A37" s="342"/>
      <c r="B37" s="98"/>
      <c r="C37" s="55"/>
      <c r="D37" s="330"/>
      <c r="E37" s="207" t="s">
        <v>338</v>
      </c>
      <c r="F37" s="208" t="s">
        <v>44</v>
      </c>
      <c r="G37" s="250"/>
      <c r="H37" s="209" t="s">
        <v>507</v>
      </c>
      <c r="I37" s="253"/>
      <c r="J37" s="178">
        <f>IF(I37="",0,COUNTIF($ET$26:$ET$114,I37)+COUNTIF($Z$26:$Z$114,I37)+COUNTIF($AI$26:$AI$114,I37)+COUNTIF($AR$26:$AR$114,I37)+COUNTIF($AY$26:$AY$114,I37)+COUNTIF($BH$26:$BH$114,I37)+COUNTIF($BQ$26:$BQ$114,I37)+COUNTIF($BZ$26:$BZ$114,I37)+COUNTIF($CI$26:$CI$114,I37)+COUNTIF($CR$26:$CR$114,I37)+COUNTIF($DA$26:$DA$114,I37)+COUNTIF($DJ$26:$DJ$114,I37)+COUNTIF($DS$26:$DS$114,I37)+COUNTIF($EB$26:$EB$114,I37)+COUNTIF($EK$26:$EK$114,I37)+COUNTIF($I$26:$I$100,I37)+COUNTIF($Q$26:$Q$114,I37)-1)</f>
        <v>0</v>
      </c>
      <c r="K37" s="219"/>
      <c r="L37" s="330"/>
      <c r="M37" s="207" t="s">
        <v>338</v>
      </c>
      <c r="N37" s="208" t="s">
        <v>44</v>
      </c>
      <c r="O37" s="250"/>
      <c r="P37" s="209"/>
      <c r="Q37" s="253"/>
      <c r="R37" s="178">
        <f>IF(Q37="",0,COUNTIF($ET$26:$ET$114,Q37)+COUNTIF($Z$26:$Z$114,Q37)+COUNTIF($AI$26:$AI$114,Q37)+COUNTIF($AR$26:$AR$114,Q37)+COUNTIF($AY$26:$AY$114,Q37)+COUNTIF($BH$26:$BH$114,Q37)+COUNTIF($BQ$26:$BQ$114,Q37)+COUNTIF($BZ$26:$BZ$114,Q37)+COUNTIF($CI$26:$CI$114,Q37)+COUNTIF($CR$26:$CR$114,Q37)+COUNTIF($DA$26:$DA$114,Q37)+COUNTIF($DJ$26:$DJ$114,Q37)+COUNTIF($DS$26:$DS$114,Q37)+COUNTIF($EB$26:$EB$114,Q37)+COUNTIF($EK$26:$EK$114,Q37)+COUNTIF($I$26:$I$100,Q37)+COUNTIF($Q$26:$Q$114,Q37)-1)</f>
        <v>0</v>
      </c>
      <c r="S37" s="95"/>
      <c r="T37" s="63"/>
      <c r="U37" s="65"/>
      <c r="V37" s="65"/>
      <c r="W37" s="65"/>
      <c r="X37" s="65"/>
      <c r="Y37" s="65"/>
      <c r="Z37" s="65"/>
      <c r="AA37" s="4"/>
      <c r="AB37" s="98"/>
      <c r="AC37" s="98"/>
      <c r="AD37" s="98"/>
      <c r="AE37" s="98"/>
      <c r="AF37" s="98"/>
      <c r="AG37" s="98"/>
      <c r="AH37" s="98"/>
      <c r="AI37" s="98"/>
      <c r="AJ37" s="98"/>
      <c r="AK37" s="98"/>
      <c r="AL37" s="15"/>
      <c r="AM37" s="65"/>
      <c r="AN37" s="65"/>
      <c r="AO37" s="65"/>
      <c r="AP37" s="65"/>
      <c r="AQ37" s="65"/>
      <c r="AR37" s="65"/>
      <c r="AS37" s="73"/>
      <c r="AT37" s="330"/>
      <c r="AU37" s="8" t="s">
        <v>268</v>
      </c>
      <c r="AV37" s="2"/>
      <c r="AW37" s="2"/>
      <c r="AX37" s="2" t="s">
        <v>269</v>
      </c>
      <c r="AY37" s="156"/>
      <c r="AZ37" s="59"/>
      <c r="BA37" s="98"/>
      <c r="BB37" s="15"/>
      <c r="BC37" s="65"/>
      <c r="BD37" s="65"/>
      <c r="BE37" s="65"/>
      <c r="BF37" s="65"/>
      <c r="BG37" s="65"/>
      <c r="BH37" s="65"/>
      <c r="BI37" s="4"/>
      <c r="BJ37" s="98"/>
      <c r="BK37" s="15"/>
      <c r="BL37" s="65"/>
      <c r="BM37" s="65"/>
      <c r="BN37" s="65"/>
      <c r="BO37" s="65"/>
      <c r="BP37" s="65"/>
      <c r="BQ37" s="65"/>
      <c r="BR37" s="4"/>
      <c r="BS37" s="98"/>
      <c r="BT37" s="98"/>
      <c r="BU37" s="98"/>
      <c r="BV37" s="98"/>
      <c r="BW37" s="98"/>
      <c r="BX37" s="98"/>
      <c r="BY37" s="98"/>
      <c r="BZ37" s="98"/>
      <c r="CA37" s="98"/>
      <c r="CB37" s="98"/>
      <c r="CC37" s="98"/>
      <c r="CD37" s="98"/>
      <c r="CE37" s="98"/>
      <c r="CF37" s="98"/>
      <c r="CG37" s="98"/>
      <c r="CH37" s="98"/>
      <c r="CI37" s="98"/>
      <c r="CJ37" s="98"/>
      <c r="CK37" s="98"/>
      <c r="CL37" s="98"/>
      <c r="CM37" s="98"/>
      <c r="CN37" s="98"/>
      <c r="CO37" s="98"/>
      <c r="CP37" s="98"/>
      <c r="CQ37" s="98"/>
      <c r="CR37" s="98"/>
      <c r="CS37" s="98"/>
      <c r="CT37" s="98"/>
      <c r="CU37" s="98"/>
      <c r="CV37" s="98"/>
      <c r="CW37" s="98"/>
      <c r="CX37" s="98"/>
      <c r="CY37" s="98"/>
      <c r="CZ37" s="98"/>
      <c r="DA37" s="98"/>
      <c r="DB37" s="98"/>
      <c r="DC37" s="98"/>
      <c r="DD37" s="98"/>
      <c r="DE37" s="98"/>
      <c r="DF37" s="98"/>
      <c r="DG37" s="98"/>
      <c r="DH37" s="98"/>
      <c r="DI37" s="98"/>
      <c r="DJ37" s="98"/>
      <c r="DK37" s="98"/>
      <c r="DL37" s="98"/>
      <c r="DM37" s="98"/>
      <c r="DN37" s="98"/>
      <c r="DO37" s="98"/>
      <c r="DP37" s="98"/>
      <c r="DQ37" s="98"/>
      <c r="DR37" s="98"/>
      <c r="DS37" s="98"/>
      <c r="DT37" s="98"/>
      <c r="DU37" s="98"/>
      <c r="DV37" s="98"/>
      <c r="DW37" s="98"/>
      <c r="DX37" s="98"/>
      <c r="DY37" s="98"/>
      <c r="DZ37" s="98"/>
      <c r="EA37" s="98"/>
      <c r="EB37" s="98"/>
      <c r="EC37" s="98"/>
      <c r="ED37" s="98"/>
      <c r="EE37" s="98"/>
      <c r="EF37" s="98"/>
      <c r="EG37" s="98"/>
      <c r="EH37" s="98"/>
      <c r="EI37" s="98"/>
      <c r="EJ37" s="98"/>
      <c r="EK37" s="98"/>
      <c r="EL37" s="98"/>
      <c r="EM37" s="93"/>
      <c r="EN37" s="129"/>
      <c r="EO37" s="81"/>
      <c r="EP37" s="81"/>
      <c r="EQ37" s="81"/>
      <c r="ER37" s="81"/>
      <c r="ES37" s="81"/>
      <c r="ET37" s="81"/>
      <c r="EU37" s="100"/>
      <c r="EV37" s="95"/>
    </row>
    <row r="38" spans="1:152" s="138" customFormat="1" ht="15.75" thickBot="1">
      <c r="A38" s="342"/>
      <c r="B38" s="98"/>
      <c r="C38" s="55"/>
      <c r="D38" s="330"/>
      <c r="E38" s="210" t="s">
        <v>268</v>
      </c>
      <c r="F38" s="211" t="s">
        <v>44</v>
      </c>
      <c r="G38" s="211"/>
      <c r="H38" s="212" t="s">
        <v>490</v>
      </c>
      <c r="I38" s="255"/>
      <c r="J38" s="178" t="e">
        <f>IF(#REF!="",0,COUNTIF($ET$26:$ET$114,#REF!)+COUNTIF($Z$26:$Z$114,#REF!)+COUNTIF($AI$26:$AI$114,#REF!)+COUNTIF($AR$26:$AR$114,#REF!)+COUNTIF($AY$26:$AY$114,#REF!)+COUNTIF($BH$26:$BH$114,#REF!)+COUNTIF($BQ$26:$BQ$114,#REF!)+COUNTIF($BZ$26:$BZ$114,#REF!)+COUNTIF($CI$26:$CI$114,#REF!)+COUNTIF($CR$26:$CR$114,#REF!)+COUNTIF($DA$26:$DA$114,#REF!)+COUNTIF($DJ$26:$DJ$114,#REF!)+COUNTIF($DS$26:$DS$114,#REF!)+COUNTIF($EB$26:$EB$114,#REF!)+COUNTIF($EK$26:$EK$114,#REF!)+COUNTIF($I$26:$I$100,#REF!)+COUNTIF($Q$26:$Q$114,#REF!)-1)</f>
        <v>#REF!</v>
      </c>
      <c r="K38" s="219"/>
      <c r="L38" s="330"/>
      <c r="M38" s="210" t="s">
        <v>268</v>
      </c>
      <c r="N38" s="211" t="s">
        <v>44</v>
      </c>
      <c r="O38" s="211"/>
      <c r="P38" s="212" t="s">
        <v>493</v>
      </c>
      <c r="Q38" s="242"/>
      <c r="R38" s="178">
        <f>IF(Q38="",0,COUNTIF($ET$26:$ET$114,Q38)+COUNTIF($Z$26:$Z$114,Q38)+COUNTIF($AI$26:$AI$114,Q38)+COUNTIF($AR$26:$AR$114,Q38)+COUNTIF($AY$26:$AY$114,Q38)+COUNTIF($BH$26:$BH$114,Q38)+COUNTIF($BQ$26:$BQ$114,Q38)+COUNTIF($BZ$26:$BZ$114,Q38)+COUNTIF($CI$26:$CI$114,Q38)+COUNTIF($CR$26:$CR$114,Q38)+COUNTIF($DA$26:$DA$114,Q38)+COUNTIF($DJ$26:$DJ$114,Q38)+COUNTIF($DS$26:$DS$114,Q38)+COUNTIF($EB$26:$EB$114,Q38)+COUNTIF($EK$26:$EK$114,Q38)+COUNTIF($I$26:$I$100,Q38)+COUNTIF($Q$26:$Q$114,Q38)-1)</f>
        <v>0</v>
      </c>
      <c r="S38" s="95"/>
      <c r="T38" s="247"/>
      <c r="U38" s="130" t="s">
        <v>235</v>
      </c>
      <c r="V38" s="131" t="s">
        <v>187</v>
      </c>
      <c r="W38" s="131" t="s">
        <v>236</v>
      </c>
      <c r="X38" s="131" t="s">
        <v>182</v>
      </c>
      <c r="Y38" s="131" t="s">
        <v>186</v>
      </c>
      <c r="Z38" s="132" t="s">
        <v>237</v>
      </c>
      <c r="AA38" s="132" t="s">
        <v>238</v>
      </c>
      <c r="AB38" s="134"/>
      <c r="AC38" s="98"/>
      <c r="AD38" s="98"/>
      <c r="AE38" s="98"/>
      <c r="AF38" s="98"/>
      <c r="AG38" s="98"/>
      <c r="AH38" s="98"/>
      <c r="AI38" s="98"/>
      <c r="AJ38" s="98"/>
      <c r="AK38" s="134"/>
      <c r="AL38" s="129"/>
      <c r="AM38" s="130" t="s">
        <v>235</v>
      </c>
      <c r="AN38" s="131" t="s">
        <v>187</v>
      </c>
      <c r="AO38" s="131" t="s">
        <v>236</v>
      </c>
      <c r="AP38" s="131" t="s">
        <v>182</v>
      </c>
      <c r="AQ38" s="131" t="s">
        <v>186</v>
      </c>
      <c r="AR38" s="132" t="s">
        <v>237</v>
      </c>
      <c r="AS38" s="132" t="s">
        <v>238</v>
      </c>
      <c r="AT38" s="330"/>
      <c r="AU38" s="8" t="s">
        <v>270</v>
      </c>
      <c r="AV38" s="2"/>
      <c r="AW38" s="2">
        <v>99</v>
      </c>
      <c r="AX38" s="144"/>
      <c r="AY38" s="145"/>
      <c r="AZ38" s="143"/>
      <c r="BA38" s="134"/>
      <c r="BB38" s="129"/>
      <c r="BC38" s="130" t="s">
        <v>235</v>
      </c>
      <c r="BD38" s="131" t="s">
        <v>187</v>
      </c>
      <c r="BE38" s="131" t="s">
        <v>236</v>
      </c>
      <c r="BF38" s="131" t="s">
        <v>182</v>
      </c>
      <c r="BG38" s="131" t="s">
        <v>186</v>
      </c>
      <c r="BH38" s="132" t="s">
        <v>237</v>
      </c>
      <c r="BI38" s="132" t="s">
        <v>238</v>
      </c>
      <c r="BJ38" s="134"/>
      <c r="BK38" s="129"/>
      <c r="BL38" s="130" t="s">
        <v>235</v>
      </c>
      <c r="BM38" s="131" t="s">
        <v>187</v>
      </c>
      <c r="BN38" s="131" t="s">
        <v>236</v>
      </c>
      <c r="BO38" s="131" t="s">
        <v>182</v>
      </c>
      <c r="BP38" s="131" t="s">
        <v>186</v>
      </c>
      <c r="BQ38" s="132" t="s">
        <v>237</v>
      </c>
      <c r="BR38" s="132" t="s">
        <v>238</v>
      </c>
      <c r="BS38" s="134"/>
      <c r="BT38" s="98"/>
      <c r="BU38" s="98"/>
      <c r="BV38" s="98"/>
      <c r="BW38" s="98"/>
      <c r="BX38" s="98"/>
      <c r="BY38" s="98"/>
      <c r="BZ38" s="98"/>
      <c r="CA38" s="98"/>
      <c r="CB38" s="98"/>
      <c r="CC38" s="98"/>
      <c r="CD38" s="98"/>
      <c r="CE38" s="98"/>
      <c r="CF38" s="98"/>
      <c r="CG38" s="98"/>
      <c r="CH38" s="98"/>
      <c r="CI38" s="98"/>
      <c r="CJ38" s="98"/>
      <c r="CK38" s="98"/>
      <c r="CL38" s="98"/>
      <c r="CM38" s="98"/>
      <c r="CN38" s="98"/>
      <c r="CO38" s="98"/>
      <c r="CP38" s="98"/>
      <c r="CQ38" s="98"/>
      <c r="CR38" s="98"/>
      <c r="CS38" s="98"/>
      <c r="CT38" s="98"/>
      <c r="CU38" s="98"/>
      <c r="CV38" s="98"/>
      <c r="CW38" s="98"/>
      <c r="CX38" s="98"/>
      <c r="CY38" s="98"/>
      <c r="CZ38" s="98"/>
      <c r="DA38" s="98"/>
      <c r="DB38" s="98"/>
      <c r="DC38" s="98"/>
      <c r="DD38" s="98"/>
      <c r="DE38" s="98"/>
      <c r="DF38" s="98"/>
      <c r="DG38" s="98"/>
      <c r="DH38" s="98"/>
      <c r="DI38" s="98"/>
      <c r="DJ38" s="98"/>
      <c r="DK38" s="98"/>
      <c r="DL38" s="98"/>
      <c r="DM38" s="98"/>
      <c r="DN38" s="98"/>
      <c r="DO38" s="98"/>
      <c r="DP38" s="98"/>
      <c r="DQ38" s="98"/>
      <c r="DR38" s="98"/>
      <c r="DS38" s="98"/>
      <c r="DT38" s="98"/>
      <c r="DU38" s="98"/>
      <c r="DV38" s="98"/>
      <c r="DW38" s="98"/>
      <c r="DX38" s="98"/>
      <c r="DY38" s="98"/>
      <c r="DZ38" s="98"/>
      <c r="EA38" s="98"/>
      <c r="EB38" s="98"/>
      <c r="EC38" s="98"/>
      <c r="ED38" s="98"/>
      <c r="EE38" s="98"/>
      <c r="EF38" s="98"/>
      <c r="EG38" s="98"/>
      <c r="EH38" s="98"/>
      <c r="EI38" s="98"/>
      <c r="EJ38" s="98"/>
      <c r="EK38" s="98"/>
      <c r="EL38" s="98"/>
      <c r="EM38" s="93"/>
      <c r="EN38" s="12"/>
      <c r="EO38" s="130" t="s">
        <v>235</v>
      </c>
      <c r="EP38" s="131" t="s">
        <v>187</v>
      </c>
      <c r="EQ38" s="131" t="s">
        <v>236</v>
      </c>
      <c r="ER38" s="131" t="s">
        <v>182</v>
      </c>
      <c r="ES38" s="131" t="s">
        <v>186</v>
      </c>
      <c r="ET38" s="132" t="s">
        <v>237</v>
      </c>
      <c r="EU38" s="132" t="s">
        <v>238</v>
      </c>
      <c r="EV38" s="95"/>
    </row>
    <row r="39" spans="1:152" ht="15.75" thickBot="1">
      <c r="A39" s="342"/>
      <c r="B39" s="98"/>
      <c r="C39" s="55"/>
      <c r="D39" s="330"/>
      <c r="E39" s="207" t="s">
        <v>270</v>
      </c>
      <c r="F39" s="208" t="s">
        <v>44</v>
      </c>
      <c r="G39" s="208"/>
      <c r="H39" s="209" t="s">
        <v>463</v>
      </c>
      <c r="I39" s="223"/>
      <c r="J39" s="178">
        <f>IF(I39="",0,COUNTIF($ET$26:$ET$114,I39)+COUNTIF($Z$26:$Z$114,I39)+COUNTIF($AI$26:$AI$114,I39)+COUNTIF($AR$26:$AR$114,I39)+COUNTIF($AY$26:$AY$114,I39)+COUNTIF($BH$26:$BH$114,I39)+COUNTIF($BQ$26:$BQ$114,I39)+COUNTIF($BZ$26:$BZ$114,I39)+COUNTIF($CI$26:$CI$114,I39)+COUNTIF($CR$26:$CR$114,I39)+COUNTIF($DA$26:$DA$114,I39)+COUNTIF($DJ$26:$DJ$114,I39)+COUNTIF($DS$26:$DS$114,I39)+COUNTIF($EB$26:$EB$114,I39)+COUNTIF($EK$26:$EK$114,I39)+COUNTIF($I$26:$I$100,I39)+COUNTIF($Q$26:$Q$114,I39)-1)</f>
        <v>0</v>
      </c>
      <c r="K39" s="219"/>
      <c r="L39" s="330"/>
      <c r="M39" s="207" t="s">
        <v>270</v>
      </c>
      <c r="N39" s="208" t="s">
        <v>44</v>
      </c>
      <c r="O39" s="208"/>
      <c r="P39" s="209" t="s">
        <v>464</v>
      </c>
      <c r="Q39" s="223"/>
      <c r="R39" s="178">
        <f>IF(Q39="",0,COUNTIF($ET$26:$ET$114,Q39)+COUNTIF($Z$26:$Z$114,Q39)+COUNTIF($AI$26:$AI$114,Q39)+COUNTIF($AR$26:$AR$114,Q39)+COUNTIF($AY$26:$AY$114,Q39)+COUNTIF($BH$26:$BH$114,Q39)+COUNTIF($BQ$26:$BQ$114,Q39)+COUNTIF($BZ$26:$BZ$114,Q39)+COUNTIF($CI$26:$CI$114,Q39)+COUNTIF($CR$26:$CR$114,Q39)+COUNTIF($DA$26:$DA$114,Q39)+COUNTIF($DJ$26:$DJ$114,Q39)+COUNTIF($DS$26:$DS$114,Q39)+COUNTIF($EB$26:$EB$114,Q39)+COUNTIF($EK$26:$EK$114,Q39)+COUNTIF($I$26:$I$100,Q39)+COUNTIF($Q$26:$Q$114,Q39)-1)</f>
        <v>0</v>
      </c>
      <c r="S39" s="95"/>
      <c r="T39" s="219"/>
      <c r="U39" s="60">
        <v>1</v>
      </c>
      <c r="V39" s="139"/>
      <c r="W39" s="140">
        <v>1</v>
      </c>
      <c r="X39" s="141">
        <v>0</v>
      </c>
      <c r="Y39" s="57" t="s">
        <v>271</v>
      </c>
      <c r="Z39" s="14" t="str">
        <f>CONCATENATE("10.0.",TEXT(((BITWISE_AND('IP Address (no mod)'!$D$20,Y$22)/4)+X39*8),"0"),".",TEXT((BITWISE_AND('IP Address (no mod)'!$D$21,Y$22)*64)+U$39*10+W39,"0"))</f>
        <v>10.0.0.139</v>
      </c>
      <c r="AA39" s="100">
        <f>COUNTIF($ET$26:$ET$114,Z39)+COUNTIF($Z$26:$Z$114,Z39)+COUNTIF($AI$26:$AI$114,Z39)+COUNTIF($AR$26:$AR$114,Z39)+COUNTIF($AY$26:$AY$114,Z39)+COUNTIF($BH$26:$BH$114,Z39)+COUNTIF($BQ$26:$BQ$114,Z39)+COUNTIF($BZ$26:$BZ$114,Z39)+COUNTIF($CI$26:$CI$114,Z39)+COUNTIF($CR$26:$CR$114,Z39)+COUNTIF($DA$26:$DA$114,Z39)+COUNTIF($DJ$26:$DJ$114,Z39)+COUNTIF($DS$26:$DS$114,Z39)+COUNTIF($EB$26:$EB$114,Z39)+COUNTIF($EK$26:$EK$114,Z39)+COUNTIF($I$69:$I$100,Z39)-1</f>
        <v>0</v>
      </c>
      <c r="AB39" s="98"/>
      <c r="AC39" s="98"/>
      <c r="AD39" s="98"/>
      <c r="AE39" s="98"/>
      <c r="AF39" s="98"/>
      <c r="AG39" s="98"/>
      <c r="AH39" s="98"/>
      <c r="AI39" s="98"/>
      <c r="AJ39" s="98"/>
      <c r="AK39" s="98"/>
      <c r="AL39" s="55"/>
      <c r="AM39" s="60">
        <v>1</v>
      </c>
      <c r="AN39" s="139"/>
      <c r="AO39" s="140">
        <v>1</v>
      </c>
      <c r="AP39" s="141">
        <v>0</v>
      </c>
      <c r="AQ39" s="57" t="s">
        <v>271</v>
      </c>
      <c r="AR39" s="14" t="str">
        <f>CONCATENATE("10.0.",TEXT(((BITWISE_AND('IP Address (no mod)'!$D$20,AQ$22)/4)+AP39*8),"0"),".",TEXT((BITWISE_AND('IP Address (no mod)'!$D$21,AQ$22)*64)+AM$39*10+AO39,"0"))</f>
        <v>10.0.1.11</v>
      </c>
      <c r="AS39" s="100">
        <f>COUNTIF($ET$26:$ET$114,AR39)+COUNTIF($Z$26:$Z$114,AR39)+COUNTIF($AI$26:$AI$114,AR39)+COUNTIF($AR$26:$AR$114,AR39)+COUNTIF($AY$26:$AY$114,AR39)+COUNTIF($BH$26:$BH$114,AR39)+COUNTIF($BQ$26:$BQ$114,AR39)+COUNTIF($BZ$26:$BZ$114,AR39)+COUNTIF($CI$26:$CI$114,AR39)+COUNTIF($CR$26:$CR$114,AR39)+COUNTIF($DA$26:$DA$114,AR39)+COUNTIF($DJ$26:$DJ$114,AR39)+COUNTIF($DS$26:$DS$114,AR39)+COUNTIF($EB$26:$EB$114,AR39)+COUNTIF($EK$26:$EK$114,AR39)+COUNTIF($I$69:$I$100,AR39)-1</f>
        <v>0</v>
      </c>
      <c r="AT39" s="330"/>
      <c r="AU39" s="8"/>
      <c r="AV39" s="2"/>
      <c r="AW39" s="2"/>
      <c r="AX39" s="2"/>
      <c r="AY39" s="82"/>
      <c r="AZ39" s="59"/>
      <c r="BA39" s="98"/>
      <c r="BB39" s="55"/>
      <c r="BC39" s="60">
        <v>1</v>
      </c>
      <c r="BD39" s="139"/>
      <c r="BE39" s="140">
        <v>1</v>
      </c>
      <c r="BF39" s="141">
        <v>0</v>
      </c>
      <c r="BG39" s="57" t="s">
        <v>271</v>
      </c>
      <c r="BH39" s="14" t="str">
        <f>CONCATENATE("10.0.",TEXT(((BITWISE_AND('IP Address (no mod)'!$D$20,BG$22)/4)+BF39*8),"0"),".",TEXT((BITWISE_AND('IP Address (no mod)'!$D$21,BG$22)*64)+BC$39*10+BE39,"0"))</f>
        <v>10.0.1.75</v>
      </c>
      <c r="BI39" s="100">
        <f>COUNTIF($ET$26:$ET$114,BH39)+COUNTIF($Z$26:$Z$114,BH39)+COUNTIF($AI$26:$AI$114,BH39)+COUNTIF($AR$26:$AR$114,BH39)+COUNTIF($AY$26:$AY$114,BH39)+COUNTIF($BH$26:$BH$114,BH39)+COUNTIF($BQ$26:$BQ$114,BH39)+COUNTIF($BZ$26:$BZ$114,BH39)+COUNTIF($CI$26:$CI$114,BH39)+COUNTIF($CR$26:$CR$114,BH39)+COUNTIF($DA$26:$DA$114,BH39)+COUNTIF($DJ$26:$DJ$114,BH39)+COUNTIF($DS$26:$DS$114,BH39)+COUNTIF($EB$26:$EB$114,BH39)+COUNTIF($EK$26:$EK$114,BH39)+COUNTIF($I$69:$I$100,BH39)-1</f>
        <v>0</v>
      </c>
      <c r="BJ39" s="98"/>
      <c r="BK39" s="55"/>
      <c r="BL39" s="60">
        <v>1</v>
      </c>
      <c r="BM39" s="139"/>
      <c r="BN39" s="140">
        <v>1</v>
      </c>
      <c r="BO39" s="141">
        <v>0</v>
      </c>
      <c r="BP39" s="57" t="s">
        <v>271</v>
      </c>
      <c r="BQ39" s="14" t="str">
        <f>CONCATENATE("10.0.",TEXT(((BITWISE_AND('IP Address (no mod)'!$D$20,BP$22)/4)+BO39*8),"0"),".",TEXT((BITWISE_AND('IP Address (no mod)'!$D$21,BP$22)*64)+BL$39*10+BN39,"0"))</f>
        <v>10.0.1.139</v>
      </c>
      <c r="BR39" s="100">
        <f>COUNTIF($ET$26:$ET$114,BQ39)+COUNTIF($Z$26:$Z$114,BQ39)+COUNTIF($AI$26:$AI$114,BQ39)+COUNTIF($AR$26:$AR$114,BQ39)+COUNTIF($AY$26:$AY$114,BQ39)+COUNTIF($BH$26:$BH$114,BQ39)+COUNTIF($BQ$26:$BQ$114,BQ39)+COUNTIF($BZ$26:$BZ$114,BQ39)+COUNTIF($CI$26:$CI$114,BQ39)+COUNTIF($CR$26:$CR$114,BQ39)+COUNTIF($DA$26:$DA$114,BQ39)+COUNTIF($DJ$26:$DJ$114,BQ39)+COUNTIF($DS$26:$DS$114,BQ39)+COUNTIF($EB$26:$EB$114,BQ39)+COUNTIF($EK$26:$EK$114,BQ39)+COUNTIF($I$69:$I$100,BQ39)-1</f>
        <v>0</v>
      </c>
      <c r="BS39" s="98"/>
      <c r="BT39" s="98"/>
      <c r="BU39" s="98"/>
      <c r="BV39" s="98"/>
      <c r="BW39" s="98"/>
      <c r="BX39" s="98"/>
      <c r="BY39" s="98"/>
      <c r="BZ39" s="98"/>
      <c r="CA39" s="98"/>
      <c r="CB39" s="98"/>
      <c r="CC39" s="98"/>
      <c r="CD39" s="98"/>
      <c r="CE39" s="98"/>
      <c r="CF39" s="98"/>
      <c r="CG39" s="98"/>
      <c r="CH39" s="98"/>
      <c r="CI39" s="98"/>
      <c r="CJ39" s="98"/>
      <c r="CK39" s="98"/>
      <c r="CL39" s="98"/>
      <c r="CM39" s="98"/>
      <c r="CN39" s="98"/>
      <c r="CO39" s="98"/>
      <c r="CP39" s="98"/>
      <c r="CQ39" s="98"/>
      <c r="CR39" s="98"/>
      <c r="CS39" s="98"/>
      <c r="CT39" s="98"/>
      <c r="CU39" s="98"/>
      <c r="CV39" s="98"/>
      <c r="CW39" s="98"/>
      <c r="CX39" s="98"/>
      <c r="CY39" s="98"/>
      <c r="CZ39" s="98"/>
      <c r="DA39" s="98"/>
      <c r="DB39" s="98"/>
      <c r="DC39" s="98"/>
      <c r="DD39" s="98"/>
      <c r="DE39" s="98"/>
      <c r="DF39" s="98"/>
      <c r="DG39" s="98"/>
      <c r="DH39" s="98"/>
      <c r="DI39" s="98"/>
      <c r="DJ39" s="98"/>
      <c r="DK39" s="98"/>
      <c r="DL39" s="98"/>
      <c r="DM39" s="98"/>
      <c r="DN39" s="98"/>
      <c r="DO39" s="98"/>
      <c r="DP39" s="98"/>
      <c r="DQ39" s="98"/>
      <c r="DR39" s="98"/>
      <c r="DS39" s="98"/>
      <c r="DT39" s="98"/>
      <c r="DU39" s="98"/>
      <c r="DV39" s="98"/>
      <c r="DW39" s="98"/>
      <c r="DX39" s="98"/>
      <c r="DY39" s="98"/>
      <c r="DZ39" s="98"/>
      <c r="EA39" s="98"/>
      <c r="EB39" s="98"/>
      <c r="EC39" s="98"/>
      <c r="ED39" s="98"/>
      <c r="EE39" s="98"/>
      <c r="EF39" s="98"/>
      <c r="EG39" s="98"/>
      <c r="EH39" s="98"/>
      <c r="EI39" s="98"/>
      <c r="EJ39" s="98"/>
      <c r="EK39" s="98"/>
      <c r="EL39" s="98"/>
      <c r="EM39" s="93"/>
      <c r="EN39" s="129"/>
      <c r="EO39" s="60">
        <v>1</v>
      </c>
      <c r="EP39" s="244"/>
      <c r="EQ39" s="245">
        <v>1</v>
      </c>
      <c r="ER39" s="246">
        <v>0</v>
      </c>
      <c r="ES39" s="246" t="s">
        <v>271</v>
      </c>
      <c r="ET39" s="246" t="str">
        <f>CONCATENATE("10.0.",TEXT(((BITWISE_AND('IP Address (no mod)'!$D$20,ES$22)/4)+ER39*8),"0"),".",TEXT((BITWISE_AND('IP Address (no mod)'!$D$21,ES$22)*64)+EO$39*10+EQ39,"0"))</f>
        <v>10.0.0.75</v>
      </c>
      <c r="EU39" s="100">
        <f>COUNTIF($ET$26:$ET$114,ET39)+COUNTIF($Z$26:$Z$114,ET39)+COUNTIF($AI$26:$AI$114,ET39)+COUNTIF($AR$26:$AR$114,ET39)+COUNTIF($AY$26:$AY$114,ET39)+COUNTIF($BH$26:$BH$114,ET39)+COUNTIF($BQ$26:$BQ$114,ET39)+COUNTIF($BZ$26:$BZ$114,ET39)+COUNTIF($CI$26:$CI$114,ET39)+COUNTIF($CR$26:$CR$114,ET39)+COUNTIF($DA$26:$DA$114,ET39)+COUNTIF($DJ$26:$DJ$114,ET39)+COUNTIF($DS$26:$DS$114,ET39)+COUNTIF($EB$26:$EB$114,ET39)+COUNTIF($EK$26:$EK$114,ET39)+COUNTIF($I$69:$I$100,ET39)-1</f>
        <v>0</v>
      </c>
      <c r="EV39" s="95"/>
    </row>
    <row r="40" spans="1:152" ht="14.45" customHeight="1" thickBot="1">
      <c r="A40" s="342"/>
      <c r="B40" s="98"/>
      <c r="C40" s="69"/>
      <c r="D40" s="331"/>
      <c r="E40" s="210" t="s">
        <v>272</v>
      </c>
      <c r="F40" s="211" t="s">
        <v>44</v>
      </c>
      <c r="G40" s="211"/>
      <c r="H40" s="212" t="s">
        <v>465</v>
      </c>
      <c r="I40" s="224"/>
      <c r="J40" s="166">
        <f>IF(I40="",0,COUNTIF($ET$26:$ET$114,I40)+COUNTIF($Z$26:$Z$114,I40)+COUNTIF($AI$26:$AI$114,I40)+COUNTIF($AR$26:$AR$114,I40)+COUNTIF($AY$26:$AY$114,I40)+COUNTIF($BH$26:$BH$114,I40)+COUNTIF($BQ$26:$BQ$114,I40)+COUNTIF($BZ$26:$BZ$114,I40)+COUNTIF($CI$26:$CI$114,I40)+COUNTIF($CR$26:$CR$114,I40)+COUNTIF($DA$26:$DA$114,I40)+COUNTIF($DJ$26:$DJ$114,I40)+COUNTIF($DS$26:$DS$114,I40)+COUNTIF($EB$26:$EB$114,I40)+COUNTIF($EK$26:$EK$114,I40)+COUNTIF($I$26:$I$100,I40)+COUNTIF($Q$26:$Q$114,I40)-1)</f>
        <v>0</v>
      </c>
      <c r="K40" s="219"/>
      <c r="L40" s="331"/>
      <c r="M40" s="210" t="s">
        <v>272</v>
      </c>
      <c r="N40" s="211" t="s">
        <v>44</v>
      </c>
      <c r="O40" s="211"/>
      <c r="P40" s="212" t="s">
        <v>466</v>
      </c>
      <c r="Q40" s="224"/>
      <c r="R40" s="178">
        <f>IF(Q40="",0,COUNTIF($ET$26:$ET$114,Q40)+COUNTIF($Z$26:$Z$114,Q40)+COUNTIF($AI$26:$AI$114,Q40)+COUNTIF($AR$26:$AR$114,Q40)+COUNTIF($AY$26:$AY$114,Q40)+COUNTIF($BH$26:$BH$114,Q40)+COUNTIF($BQ$26:$BQ$114,Q40)+COUNTIF($BZ$26:$BZ$114,Q40)+COUNTIF($CI$26:$CI$114,Q40)+COUNTIF($CR$26:$CR$114,Q40)+COUNTIF($DA$26:$DA$114,Q40)+COUNTIF($DJ$26:$DJ$114,Q40)+COUNTIF($DS$26:$DS$114,Q40)+COUNTIF($EB$26:$EB$114,Q40)+COUNTIF($EK$26:$EK$114,Q40)+COUNTIF($I$26:$I$100,Q40)+COUNTIF($Q$26:$Q$114,Q40)-1)</f>
        <v>0</v>
      </c>
      <c r="S40" s="95"/>
      <c r="T40" s="219"/>
      <c r="U40" s="329" t="s">
        <v>271</v>
      </c>
      <c r="V40" s="61" t="s">
        <v>241</v>
      </c>
      <c r="W40" s="61">
        <v>0</v>
      </c>
      <c r="X40" s="61">
        <v>1</v>
      </c>
      <c r="Y40" s="62" t="s">
        <v>457</v>
      </c>
      <c r="Z40" s="14" t="str">
        <f>IF(X40=99,"", CONCATENATE("10.0.",TEXT(((BITWISE_AND('IP Address (no mod)'!$D$20,Y$22)/4)+X40*8),"0"),".",TEXT((BITWISE_AND('IP Address (no mod)'!$D$21,Y$22)*64)+U$26*10+W40,"0")))</f>
        <v>10.0.8.128</v>
      </c>
      <c r="AA40" s="100">
        <f>IF(Z40="",0,COUNTIF($ET$26:$ET$114,Z40)+COUNTIF($Z$26:$Z$114,Z40)+COUNTIF($AI$26:$AI$114,Z40)+COUNTIF($AR$26:$AR$114,Z40)+COUNTIF($AY$26:$AY$114,Z40)+COUNTIF($BH$26:$BH$114,Z40)+COUNTIF($BQ$26:$BQ$114,Z40)+COUNTIF($BZ$26:$BZ$114,Z40)+COUNTIF($CI$26:$CI$114,Z40)+COUNTIF($CR$26:$CR$114,Z40)+COUNTIF($DA$26:$DA$114,Z40)+COUNTIF($DJ$26:$DJ$114,Z40)+COUNTIF($DS$26:$DS$114,Z40)+COUNTIF($EB$26:$EB$114,Z40)+COUNTIF($EK$26:$EK$114,Z40)+COUNTIF($I$69:$I$100,Z40)-1)</f>
        <v>1</v>
      </c>
      <c r="AB40" s="98"/>
      <c r="AC40" s="98"/>
      <c r="AD40" s="98"/>
      <c r="AE40" s="98"/>
      <c r="AF40" s="98"/>
      <c r="AG40" s="98"/>
      <c r="AH40" s="98"/>
      <c r="AI40" s="98"/>
      <c r="AJ40" s="98"/>
      <c r="AK40" s="98"/>
      <c r="AL40" s="55"/>
      <c r="AM40" s="329" t="s">
        <v>271</v>
      </c>
      <c r="AN40" s="61" t="s">
        <v>241</v>
      </c>
      <c r="AO40" s="61">
        <v>0</v>
      </c>
      <c r="AP40" s="61">
        <v>1</v>
      </c>
      <c r="AQ40" s="62" t="s">
        <v>457</v>
      </c>
      <c r="AR40" s="14" t="str">
        <f>IF(AP40=99,"", CONCATENATE("10.0.",TEXT(((BITWISE_AND('IP Address (no mod)'!$D$20,AQ$22)/4)+AP40*8),"0"),".",TEXT((BITWISE_AND('IP Address (no mod)'!$D$21,AQ$22)*64)+AM$26*10+AO40,"0")))</f>
        <v>10.0.9.0</v>
      </c>
      <c r="AS40" s="100">
        <f>IF(AR40="",0,COUNTIF($ET$26:$ET$114,AR40)+COUNTIF($Z$26:$Z$114,AR40)+COUNTIF($AI$26:$AI$114,AR40)+COUNTIF($AR$26:$AR$114,AR40)+COUNTIF($AY$26:$AY$114,AR40)+COUNTIF($BH$26:$BH$114,AR40)+COUNTIF($BQ$26:$BQ$114,AR40)+COUNTIF($BZ$26:$BZ$114,AR40)+COUNTIF($CI$26:$CI$114,AR40)+COUNTIF($CR$26:$CR$114,AR40)+COUNTIF($DA$26:$DA$114,AR40)+COUNTIF($DJ$26:$DJ$114,AR40)+COUNTIF($DS$26:$DS$114,AR40)+COUNTIF($EB$26:$EB$114,AR40)+COUNTIF($EK$26:$EK$114,AR40)+COUNTIF($I$69:$I$100,AR40)-1)</f>
        <v>1</v>
      </c>
      <c r="AT40" s="330"/>
      <c r="AU40" s="8" t="s">
        <v>272</v>
      </c>
      <c r="AV40" s="2"/>
      <c r="AW40" s="2"/>
      <c r="AX40" s="2" t="s">
        <v>273</v>
      </c>
      <c r="AY40" s="5"/>
      <c r="AZ40" s="59"/>
      <c r="BA40" s="98"/>
      <c r="BB40" s="55"/>
      <c r="BC40" s="329" t="s">
        <v>271</v>
      </c>
      <c r="BD40" s="61" t="s">
        <v>241</v>
      </c>
      <c r="BE40" s="61">
        <v>0</v>
      </c>
      <c r="BF40" s="61">
        <v>1</v>
      </c>
      <c r="BG40" s="64" t="s">
        <v>457</v>
      </c>
      <c r="BH40" s="14" t="str">
        <f>IF(BF40=99,"", CONCATENATE("10.0.",TEXT(((BITWISE_AND('IP Address (no mod)'!$D$20,BG$22)/4)+BF40*8),"0"),".",TEXT((BITWISE_AND('IP Address (no mod)'!$D$21,BG$22)*64)+BC$26*10+BE40,"0")))</f>
        <v>10.0.9.64</v>
      </c>
      <c r="BI40" s="100">
        <f>IF(BH40="",0,COUNTIF($ET$26:$ET$114,BH40)+COUNTIF($Z$26:$Z$114,BH40)+COUNTIF($AI$26:$AI$114,BH40)+COUNTIF($AR$26:$AR$114,BH40)+COUNTIF($AY$26:$AY$114,BH40)+COUNTIF($BH$26:$BH$114,BH40)+COUNTIF($BQ$26:$BQ$114,BH40)+COUNTIF($BZ$26:$BZ$114,BH40)+COUNTIF($CI$26:$CI$114,BH40)+COUNTIF($CR$26:$CR$114,BH40)+COUNTIF($DA$26:$DA$114,BH40)+COUNTIF($DJ$26:$DJ$114,BH40)+COUNTIF($DS$26:$DS$114,BH40)+COUNTIF($EB$26:$EB$114,BH40)+COUNTIF($EK$26:$EK$114,BH40)+COUNTIF($I$69:$I$100,BH40)-1)</f>
        <v>1</v>
      </c>
      <c r="BJ40" s="98"/>
      <c r="BK40" s="55"/>
      <c r="BL40" s="329" t="s">
        <v>271</v>
      </c>
      <c r="BM40" s="61" t="s">
        <v>241</v>
      </c>
      <c r="BN40" s="61">
        <v>0</v>
      </c>
      <c r="BO40" s="61">
        <v>1</v>
      </c>
      <c r="BP40" s="62" t="s">
        <v>457</v>
      </c>
      <c r="BQ40" s="14" t="str">
        <f>IF(BO40=99,"", CONCATENATE("10.0.",TEXT(((BITWISE_AND('IP Address (no mod)'!$D$20,BP$22)/4)+BO40*8),"0"),".",TEXT((BITWISE_AND('IP Address (no mod)'!$D$21,BP$22)*64)+BL$26*10+BN40,"0")))</f>
        <v>10.0.9.128</v>
      </c>
      <c r="BR40" s="100">
        <f>IF(BQ40="",0,COUNTIF($ET$26:$ET$114,BQ40)+COUNTIF($Z$26:$Z$114,BQ40)+COUNTIF($AI$26:$AI$114,BQ40)+COUNTIF($AR$26:$AR$114,BQ40)+COUNTIF($AY$26:$AY$114,BQ40)+COUNTIF($BH$26:$BH$114,BQ40)+COUNTIF($BQ$26:$BQ$114,BQ40)+COUNTIF($BZ$26:$BZ$114,BQ40)+COUNTIF($CI$26:$CI$114,BQ40)+COUNTIF($CR$26:$CR$114,BQ40)+COUNTIF($DA$26:$DA$114,BQ40)+COUNTIF($DJ$26:$DJ$114,BQ40)+COUNTIF($DS$26:$DS$114,BQ40)+COUNTIF($EB$26:$EB$114,BQ40)+COUNTIF($EK$26:$EK$114,BQ40)+COUNTIF($I$69:$I$100,BQ40)-1)</f>
        <v>1</v>
      </c>
      <c r="BS40" s="98"/>
      <c r="BT40" s="98"/>
      <c r="BU40" s="98"/>
      <c r="BV40" s="98"/>
      <c r="BW40" s="98"/>
      <c r="BX40" s="98"/>
      <c r="BY40" s="98"/>
      <c r="BZ40" s="98"/>
      <c r="CA40" s="98"/>
      <c r="CB40" s="98"/>
      <c r="CC40" s="98"/>
      <c r="CD40" s="98"/>
      <c r="CE40" s="98"/>
      <c r="CF40" s="98"/>
      <c r="CG40" s="98"/>
      <c r="CH40" s="98"/>
      <c r="CI40" s="98"/>
      <c r="CJ40" s="98"/>
      <c r="CK40" s="98"/>
      <c r="CL40" s="98"/>
      <c r="CM40" s="98"/>
      <c r="CN40" s="98"/>
      <c r="CO40" s="98"/>
      <c r="CP40" s="98"/>
      <c r="CQ40" s="98"/>
      <c r="CR40" s="98"/>
      <c r="CS40" s="98"/>
      <c r="CT40" s="98"/>
      <c r="CU40" s="98"/>
      <c r="CV40" s="98"/>
      <c r="CW40" s="98"/>
      <c r="CX40" s="98"/>
      <c r="CY40" s="98"/>
      <c r="CZ40" s="98"/>
      <c r="DA40" s="98"/>
      <c r="DB40" s="98"/>
      <c r="DC40" s="98"/>
      <c r="DD40" s="98"/>
      <c r="DE40" s="98"/>
      <c r="DF40" s="98"/>
      <c r="DG40" s="98"/>
      <c r="DH40" s="98"/>
      <c r="DI40" s="98"/>
      <c r="DJ40" s="98"/>
      <c r="DK40" s="98"/>
      <c r="DL40" s="98"/>
      <c r="DM40" s="98"/>
      <c r="DN40" s="98"/>
      <c r="DO40" s="98"/>
      <c r="DP40" s="98"/>
      <c r="DQ40" s="98"/>
      <c r="DR40" s="98"/>
      <c r="DS40" s="98"/>
      <c r="DT40" s="98"/>
      <c r="DU40" s="98"/>
      <c r="DV40" s="98"/>
      <c r="DW40" s="98"/>
      <c r="DX40" s="98"/>
      <c r="DY40" s="98"/>
      <c r="DZ40" s="98"/>
      <c r="EA40" s="98"/>
      <c r="EB40" s="98"/>
      <c r="EC40" s="98"/>
      <c r="ED40" s="98"/>
      <c r="EE40" s="98"/>
      <c r="EF40" s="98"/>
      <c r="EG40" s="98"/>
      <c r="EH40" s="98"/>
      <c r="EI40" s="98"/>
      <c r="EJ40" s="98"/>
      <c r="EK40" s="98"/>
      <c r="EL40" s="98"/>
      <c r="EM40" s="93"/>
      <c r="EN40" s="129"/>
      <c r="EO40" s="329" t="s">
        <v>271</v>
      </c>
      <c r="EP40" s="12" t="s">
        <v>241</v>
      </c>
      <c r="EQ40" s="13">
        <v>0</v>
      </c>
      <c r="ER40" s="13">
        <v>1</v>
      </c>
      <c r="ES40" s="13" t="s">
        <v>457</v>
      </c>
      <c r="ET40" s="14" t="str">
        <f>IF(ER40=99,"", CONCATENATE("10.0.",TEXT(((BITWISE_AND('IP Address (no mod)'!$D$20,ES$22)/4)+ER40*8),"0"),".",TEXT((BITWISE_AND('IP Address (no mod)'!$D$21,ES$22)*64)+EO$26*10+EQ40,"0")))</f>
        <v>10.0.8.64</v>
      </c>
      <c r="EU40" s="100">
        <f>IF(ET40="",0,COUNTIF($ET$26:$ET$114,ET40)+COUNTIF($Z$26:$Z$114,ET40)+COUNTIF($AI$26:$AI$114,ET40)+COUNTIF($AR$26:$AR$114,ET40)+COUNTIF($AY$26:$AY$114,ET40)+COUNTIF($BH$26:$BH$114,ET40)+COUNTIF($BQ$26:$BQ$114,ET40)+COUNTIF($BZ$26:$BZ$114,ET40)+COUNTIF($CI$26:$CI$114,ET40)+COUNTIF($CR$26:$CR$114,ET40)+COUNTIF($DA$26:$DA$114,ET40)+COUNTIF($DJ$26:$DJ$114,ET40)+COUNTIF($DS$26:$DS$114,ET40)+COUNTIF($EB$26:$EB$114,ET40)+COUNTIF($EK$26:$EK$114,ET40)+COUNTIF($I$69:$I$100,ET40)-1)</f>
        <v>1</v>
      </c>
      <c r="EV40" s="95"/>
    </row>
    <row r="41" spans="1:152" ht="15" customHeight="1" thickBot="1">
      <c r="A41" s="342"/>
      <c r="B41" s="98"/>
      <c r="C41" s="15"/>
      <c r="D41" s="65"/>
      <c r="E41" s="65"/>
      <c r="F41" s="65"/>
      <c r="G41" s="65"/>
      <c r="H41" s="65"/>
      <c r="I41" s="65"/>
      <c r="J41" s="65"/>
      <c r="K41" s="1"/>
      <c r="L41" s="65"/>
      <c r="M41" s="65"/>
      <c r="N41" s="65"/>
      <c r="O41" s="65"/>
      <c r="P41" s="65"/>
      <c r="Q41" s="65"/>
      <c r="R41" s="3"/>
      <c r="S41" s="95"/>
      <c r="T41" s="219"/>
      <c r="U41" s="330"/>
      <c r="V41" s="63" t="s">
        <v>243</v>
      </c>
      <c r="W41" s="63">
        <v>1</v>
      </c>
      <c r="X41" s="63">
        <v>2</v>
      </c>
      <c r="Y41" s="64" t="s">
        <v>275</v>
      </c>
      <c r="Z41" s="3" t="str">
        <f>IF(X41=99,"", CONCATENATE("10.0.",TEXT(((BITWISE_AND('IP Address (no mod)'!$D$20,Y$22)/4)+X41*8),"0"),".",TEXT((BITWISE_AND('IP Address (no mod)'!$D$21,Y$22)*64)+U$39*10+W41,"0")))</f>
        <v>10.0.16.139</v>
      </c>
      <c r="AA41" s="100">
        <f>IF(Z41="",0,COUNTIF($ET$26:$ET$114,Z41)+COUNTIF($Z$26:$Z$114,Z41)+COUNTIF($AI$26:$AI$114,Z41)+COUNTIF($AR$26:$AR$114,Z41)+COUNTIF($AY$26:$AY$114,Z41)+COUNTIF($BH$26:$BH$114,Z41)+COUNTIF($BQ$26:$BQ$114,Z41)+COUNTIF($BZ$26:$BZ$114,Z41)+COUNTIF($CI$26:$CI$114,Z41)+COUNTIF($CR$26:$CR$114,Z41)+COUNTIF($DA$26:$DA$114,Z41)+COUNTIF($DJ$26:$DJ$114,Z41)+COUNTIF($DS$26:$DS$114,Z41)+COUNTIF($EB$26:$EB$114,Z41)+COUNTIF($EK$26:$EK$114,Z41)+COUNTIF($I$69:$I$100,Z41)-1)</f>
        <v>0</v>
      </c>
      <c r="AB41" s="98"/>
      <c r="AC41" s="98"/>
      <c r="AD41" s="98"/>
      <c r="AE41" s="98"/>
      <c r="AF41" s="98"/>
      <c r="AG41" s="98"/>
      <c r="AH41" s="98"/>
      <c r="AI41" s="98"/>
      <c r="AJ41" s="98"/>
      <c r="AK41" s="98"/>
      <c r="AL41" s="55"/>
      <c r="AM41" s="330"/>
      <c r="AN41" s="63" t="s">
        <v>243</v>
      </c>
      <c r="AO41" s="63">
        <v>1</v>
      </c>
      <c r="AP41" s="63">
        <v>2</v>
      </c>
      <c r="AQ41" s="64" t="s">
        <v>275</v>
      </c>
      <c r="AR41" s="3" t="str">
        <f>IF(AP41=99,"", CONCATENATE("10.0.",TEXT(((BITWISE_AND('IP Address (no mod)'!$D$20,AQ$22)/4)+AP41*8),"0"),".",TEXT((BITWISE_AND('IP Address (no mod)'!$D$21,AQ$22)*64)+AM$39*10+AO41,"0")))</f>
        <v>10.0.17.11</v>
      </c>
      <c r="AS41" s="100">
        <f>IF(AR41="",0,COUNTIF($ET$26:$ET$114,AR41)+COUNTIF($Z$26:$Z$114,AR41)+COUNTIF($AI$26:$AI$114,AR41)+COUNTIF($AR$26:$AR$114,AR41)+COUNTIF($AY$26:$AY$114,AR41)+COUNTIF($BH$26:$BH$114,AR41)+COUNTIF($BQ$26:$BQ$114,AR41)+COUNTIF($BZ$26:$BZ$114,AR41)+COUNTIF($CI$26:$CI$114,AR41)+COUNTIF($CR$26:$CR$114,AR41)+COUNTIF($DA$26:$DA$114,AR41)+COUNTIF($DJ$26:$DJ$114,AR41)+COUNTIF($DS$26:$DS$114,AR41)+COUNTIF($EB$26:$EB$114,AR41)+COUNTIF($EK$26:$EK$114,AR41)+COUNTIF($I$69:$I$100,AR41)-1)</f>
        <v>0</v>
      </c>
      <c r="AT41" s="331"/>
      <c r="AU41" s="9" t="s">
        <v>276</v>
      </c>
      <c r="AV41" s="6"/>
      <c r="AW41" s="122">
        <v>99</v>
      </c>
      <c r="AX41" s="123"/>
      <c r="AY41" s="124"/>
      <c r="AZ41" s="59"/>
      <c r="BA41" s="98"/>
      <c r="BB41" s="55"/>
      <c r="BC41" s="330"/>
      <c r="BD41" s="63" t="s">
        <v>243</v>
      </c>
      <c r="BE41" s="63">
        <v>1</v>
      </c>
      <c r="BF41" s="63">
        <v>2</v>
      </c>
      <c r="BG41" s="64" t="s">
        <v>275</v>
      </c>
      <c r="BH41" s="3" t="str">
        <f>IF(BF41=99,"", CONCATENATE("10.0.",TEXT(((BITWISE_AND('IP Address (no mod)'!$D$20,BG$22)/4)+BF41*8),"0"),".",TEXT((BITWISE_AND('IP Address (no mod)'!$D$21,BG$22)*64)+BC$39*10+BE41,"0")))</f>
        <v>10.0.17.75</v>
      </c>
      <c r="BI41" s="100">
        <f>IF(BH41="",0,COUNTIF($ET$26:$ET$114,BH41)+COUNTIF($Z$26:$Z$114,BH41)+COUNTIF($AI$26:$AI$114,BH41)+COUNTIF($AR$26:$AR$114,BH41)+COUNTIF($AY$26:$AY$114,BH41)+COUNTIF($BH$26:$BH$114,BH41)+COUNTIF($BQ$26:$BQ$114,BH41)+COUNTIF($BZ$26:$BZ$114,BH41)+COUNTIF($CI$26:$CI$114,BH41)+COUNTIF($CR$26:$CR$114,BH41)+COUNTIF($DA$26:$DA$114,BH41)+COUNTIF($DJ$26:$DJ$114,BH41)+COUNTIF($DS$26:$DS$114,BH41)+COUNTIF($EB$26:$EB$114,BH41)+COUNTIF($EK$26:$EK$114,BH41)+COUNTIF($I$69:$I$100,BH41)-1)</f>
        <v>0</v>
      </c>
      <c r="BJ41" s="98"/>
      <c r="BK41" s="55"/>
      <c r="BL41" s="330"/>
      <c r="BM41" s="63" t="s">
        <v>243</v>
      </c>
      <c r="BN41" s="63">
        <v>1</v>
      </c>
      <c r="BO41" s="63">
        <v>2</v>
      </c>
      <c r="BP41" s="64" t="s">
        <v>275</v>
      </c>
      <c r="BQ41" s="3" t="str">
        <f>IF(BO41=99,"", CONCATENATE("10.0.",TEXT(((BITWISE_AND('IP Address (no mod)'!$D$20,BP$22)/4)+BO41*8),"0"),".",TEXT((BITWISE_AND('IP Address (no mod)'!$D$21,BP$22)*64)+BL$39*10+BN41,"0")))</f>
        <v>10.0.17.139</v>
      </c>
      <c r="BR41" s="100">
        <f>IF(BQ41="",0,COUNTIF($ET$26:$ET$114,BQ41)+COUNTIF($Z$26:$Z$114,BQ41)+COUNTIF($AI$26:$AI$114,BQ41)+COUNTIF($AR$26:$AR$114,BQ41)+COUNTIF($AY$26:$AY$114,BQ41)+COUNTIF($BH$26:$BH$114,BQ41)+COUNTIF($BQ$26:$BQ$114,BQ41)+COUNTIF($BZ$26:$BZ$114,BQ41)+COUNTIF($CI$26:$CI$114,BQ41)+COUNTIF($CR$26:$CR$114,BQ41)+COUNTIF($DA$26:$DA$114,BQ41)+COUNTIF($DJ$26:$DJ$114,BQ41)+COUNTIF($DS$26:$DS$114,BQ41)+COUNTIF($EB$26:$EB$114,BQ41)+COUNTIF($EK$26:$EK$114,BQ41)+COUNTIF($I$69:$I$100,BQ41)-1)</f>
        <v>0</v>
      </c>
      <c r="BS41" s="98"/>
      <c r="BT41" s="98"/>
      <c r="BU41" s="98"/>
      <c r="BV41" s="98"/>
      <c r="BW41" s="98"/>
      <c r="BX41" s="98"/>
      <c r="BY41" s="98"/>
      <c r="BZ41" s="98"/>
      <c r="CA41" s="98"/>
      <c r="CB41" s="98"/>
      <c r="CC41" s="98"/>
      <c r="CD41" s="98"/>
      <c r="CE41" s="98"/>
      <c r="CF41" s="98"/>
      <c r="CG41" s="98"/>
      <c r="CH41" s="98"/>
      <c r="CI41" s="98"/>
      <c r="CJ41" s="98"/>
      <c r="CK41" s="98"/>
      <c r="CL41" s="98"/>
      <c r="CM41" s="98"/>
      <c r="CN41" s="98"/>
      <c r="CO41" s="98"/>
      <c r="CP41" s="98"/>
      <c r="CQ41" s="98"/>
      <c r="CR41" s="98"/>
      <c r="CS41" s="98"/>
      <c r="CT41" s="98"/>
      <c r="CU41" s="98"/>
      <c r="CV41" s="98"/>
      <c r="CW41" s="98"/>
      <c r="CX41" s="98"/>
      <c r="CY41" s="98"/>
      <c r="CZ41" s="98"/>
      <c r="DA41" s="98"/>
      <c r="DB41" s="98"/>
      <c r="DC41" s="98"/>
      <c r="DD41" s="98"/>
      <c r="DE41" s="98"/>
      <c r="DF41" s="98"/>
      <c r="DG41" s="98"/>
      <c r="DH41" s="98"/>
      <c r="DI41" s="98"/>
      <c r="DJ41" s="98"/>
      <c r="DK41" s="98"/>
      <c r="DL41" s="98"/>
      <c r="DM41" s="98"/>
      <c r="DN41" s="98"/>
      <c r="DO41" s="98"/>
      <c r="DP41" s="98"/>
      <c r="DQ41" s="98"/>
      <c r="DR41" s="98"/>
      <c r="DS41" s="98"/>
      <c r="DT41" s="98"/>
      <c r="DU41" s="98"/>
      <c r="DV41" s="98"/>
      <c r="DW41" s="98"/>
      <c r="DX41" s="98"/>
      <c r="DY41" s="98"/>
      <c r="DZ41" s="98"/>
      <c r="EA41" s="98"/>
      <c r="EB41" s="98"/>
      <c r="EC41" s="98"/>
      <c r="ED41" s="98"/>
      <c r="EE41" s="98"/>
      <c r="EF41" s="98"/>
      <c r="EG41" s="98"/>
      <c r="EH41" s="98"/>
      <c r="EI41" s="98"/>
      <c r="EJ41" s="98"/>
      <c r="EK41" s="98"/>
      <c r="EL41" s="98"/>
      <c r="EM41" s="93"/>
      <c r="EN41" s="129"/>
      <c r="EO41" s="330"/>
      <c r="EP41" s="15" t="s">
        <v>243</v>
      </c>
      <c r="EQ41" s="1">
        <v>1</v>
      </c>
      <c r="ER41" s="1">
        <v>2</v>
      </c>
      <c r="ES41" s="1" t="s">
        <v>274</v>
      </c>
      <c r="ET41" s="4" t="str">
        <f>IF(ER41=99,"", CONCATENATE("10.0.",TEXT(((BITWISE_AND('IP Address (no mod)'!$D$20,ES$22)/4)+ER41*8),"0"),".",TEXT((BITWISE_AND('IP Address (no mod)'!$D$21,ES$22)*64)+EO$39*10+EQ41,"0")))</f>
        <v>10.0.16.75</v>
      </c>
      <c r="EU41" s="100">
        <f>IF(ET41="",0,COUNTIF($ET$26:$ET$114,ET41)+COUNTIF($Z$26:$Z$114,ET41)+COUNTIF($AI$26:$AI$114,ET41)+COUNTIF($AR$26:$AR$114,ET41)+COUNTIF($AY$26:$AY$114,ET41)+COUNTIF($BH$26:$BH$114,ET41)+COUNTIF($BQ$26:$BQ$114,ET41)+COUNTIF($BZ$26:$BZ$114,ET41)+COUNTIF($CI$26:$CI$114,ET41)+COUNTIF($CR$26:$CR$114,ET41)+COUNTIF($DA$26:$DA$114,ET41)+COUNTIF($DJ$26:$DJ$114,ET41)+COUNTIF($DS$26:$DS$114,ET41)+COUNTIF($EB$26:$EB$114,ET41)+COUNTIF($EK$26:$EK$114,ET41)+COUNTIF($I$69:$I$100,ET41)-1)</f>
        <v>0</v>
      </c>
      <c r="EV41" s="95"/>
    </row>
    <row r="42" spans="1:152" ht="15.75" thickBot="1">
      <c r="A42" s="342"/>
      <c r="B42" s="98"/>
      <c r="C42" s="15"/>
      <c r="D42" s="66"/>
      <c r="E42" s="66"/>
      <c r="F42" s="66"/>
      <c r="G42" s="66"/>
      <c r="H42" s="66"/>
      <c r="I42" s="66"/>
      <c r="J42" s="66"/>
      <c r="K42" s="1"/>
      <c r="L42" s="66"/>
      <c r="M42" s="66"/>
      <c r="N42" s="66"/>
      <c r="O42" s="66"/>
      <c r="P42" s="66"/>
      <c r="Q42" s="66"/>
      <c r="R42" s="220"/>
      <c r="S42" s="95"/>
      <c r="T42" s="219"/>
      <c r="U42" s="330"/>
      <c r="V42" s="63" t="s">
        <v>245</v>
      </c>
      <c r="W42" s="63">
        <v>2</v>
      </c>
      <c r="X42" s="63">
        <v>2</v>
      </c>
      <c r="Y42" s="64" t="s">
        <v>277</v>
      </c>
      <c r="Z42" s="3" t="str">
        <f>IF(X42=99,"", CONCATENATE("10.0.",TEXT(((BITWISE_AND('IP Address (no mod)'!$D$20,Y$22)/4)+X42*8),"0"),".",TEXT((BITWISE_AND('IP Address (no mod)'!$D$21,Y$22)*64)+U$39*10+W42,"0")))</f>
        <v>10.0.16.140</v>
      </c>
      <c r="AA42" s="100">
        <f>IF(Z42="",0,COUNTIF($ET$26:$ET$114,Z42)+COUNTIF($Z$26:$Z$114,Z42)+COUNTIF($AI$26:$AI$114,Z42)+COUNTIF($AR$26:$AR$114,Z42)+COUNTIF($AY$26:$AY$114,Z42)+COUNTIF($BH$26:$BH$114,Z42)+COUNTIF($BQ$26:$BQ$114,Z42)+COUNTIF($BZ$26:$BZ$114,Z42)+COUNTIF($CI$26:$CI$114,Z42)+COUNTIF($CR$26:$CR$114,Z42)+COUNTIF($DA$26:$DA$114,Z42)+COUNTIF($DJ$26:$DJ$114,Z42)+COUNTIF($DS$26:$DS$114,Z42)+COUNTIF($EB$26:$EB$114,Z42)+COUNTIF($EK$26:$EK$114,Z42)+COUNTIF($I$69:$I$100,Z42)-1)</f>
        <v>0</v>
      </c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55"/>
      <c r="AM42" s="330"/>
      <c r="AN42" s="63" t="s">
        <v>245</v>
      </c>
      <c r="AO42" s="63">
        <v>2</v>
      </c>
      <c r="AP42" s="63">
        <v>2</v>
      </c>
      <c r="AQ42" s="64" t="s">
        <v>277</v>
      </c>
      <c r="AR42" s="3" t="str">
        <f>IF(AP42=99,"", CONCATENATE("10.0.",TEXT(((BITWISE_AND('IP Address (no mod)'!$D$20,AQ$22)/4)+AP42*8),"0"),".",TEXT((BITWISE_AND('IP Address (no mod)'!$D$21,AQ$22)*64)+AM$39*10+AO42,"0")))</f>
        <v>10.0.17.12</v>
      </c>
      <c r="AS42" s="100">
        <f>IF(AR42="",0,COUNTIF($ET$26:$ET$114,AR42)+COUNTIF($Z$26:$Z$114,AR42)+COUNTIF($AI$26:$AI$114,AR42)+COUNTIF($AR$26:$AR$114,AR42)+COUNTIF($AY$26:$AY$114,AR42)+COUNTIF($BH$26:$BH$114,AR42)+COUNTIF($BQ$26:$BQ$114,AR42)+COUNTIF($BZ$26:$BZ$114,AR42)+COUNTIF($CI$26:$CI$114,AR42)+COUNTIF($CR$26:$CR$114,AR42)+COUNTIF($DA$26:$DA$114,AR42)+COUNTIF($DJ$26:$DJ$114,AR42)+COUNTIF($DS$26:$DS$114,AR42)+COUNTIF($EB$26:$EB$114,AR42)+COUNTIF($EK$26:$EK$114,AR42)+COUNTIF($I$69:$I$100,AR42)-1)</f>
        <v>0</v>
      </c>
      <c r="AT42" s="81"/>
      <c r="AU42" s="66"/>
      <c r="AV42" s="66"/>
      <c r="AW42" s="66"/>
      <c r="AX42" s="66"/>
      <c r="AY42" s="66"/>
      <c r="AZ42" s="59"/>
      <c r="BA42" s="98"/>
      <c r="BB42" s="55"/>
      <c r="BC42" s="330"/>
      <c r="BD42" s="63" t="s">
        <v>245</v>
      </c>
      <c r="BE42" s="63">
        <v>2</v>
      </c>
      <c r="BF42" s="63">
        <v>99</v>
      </c>
      <c r="BG42" s="1"/>
      <c r="BH42" s="3" t="str">
        <f>IF(BF42=99,"", CONCATENATE("10.0.",TEXT(((BITWISE_AND('IP Address (no mod)'!$D$20,BG$22)/4)+BF42*8),"0"),".",TEXT((BITWISE_AND('IP Address (no mod)'!$D$21,BG$22)*64)+BC$39*10+BE42,"0")))</f>
        <v/>
      </c>
      <c r="BI42" s="100">
        <f>IF(BH42="",0,COUNTIF($ET$26:$ET$114,BH42)+COUNTIF($Z$26:$Z$114,BH42)+COUNTIF($AI$26:$AI$114,BH42)+COUNTIF($AR$26:$AR$114,BH42)+COUNTIF($AY$26:$AY$114,BH42)+COUNTIF($BH$26:$BH$114,BH42)+COUNTIF($BQ$26:$BQ$114,BH42)+COUNTIF($BZ$26:$BZ$114,BH42)+COUNTIF($CI$26:$CI$114,BH42)+COUNTIF($CR$26:$CR$114,BH42)+COUNTIF($DA$26:$DA$114,BH42)+COUNTIF($DJ$26:$DJ$114,BH42)+COUNTIF($DS$26:$DS$114,BH42)+COUNTIF($EB$26:$EB$114,BH42)+COUNTIF($EK$26:$EK$114,BH42)+COUNTIF($I$69:$I$100,BH42)-1)</f>
        <v>0</v>
      </c>
      <c r="BJ42" s="98"/>
      <c r="BK42" s="55"/>
      <c r="BL42" s="330"/>
      <c r="BM42" s="63" t="s">
        <v>245</v>
      </c>
      <c r="BN42" s="63">
        <v>2</v>
      </c>
      <c r="BO42" s="63">
        <v>2</v>
      </c>
      <c r="BP42" s="64" t="s">
        <v>277</v>
      </c>
      <c r="BQ42" s="3" t="str">
        <f>IF(BO42=99,"", CONCATENATE("10.0.",TEXT(((BITWISE_AND('IP Address (no mod)'!$D$20,BP$22)/4)+BO42*8),"0"),".",TEXT((BITWISE_AND('IP Address (no mod)'!$D$21,BP$22)*64)+BL$39*10+BN42,"0")))</f>
        <v>10.0.17.140</v>
      </c>
      <c r="BR42" s="100">
        <f>IF(BQ42="",0,COUNTIF($ET$26:$ET$114,BQ42)+COUNTIF($Z$26:$Z$114,BQ42)+COUNTIF($AI$26:$AI$114,BQ42)+COUNTIF($AR$26:$AR$114,BQ42)+COUNTIF($AY$26:$AY$114,BQ42)+COUNTIF($BH$26:$BH$114,BQ42)+COUNTIF($BQ$26:$BQ$114,BQ42)+COUNTIF($BZ$26:$BZ$114,BQ42)+COUNTIF($CI$26:$CI$114,BQ42)+COUNTIF($CR$26:$CR$114,BQ42)+COUNTIF($DA$26:$DA$114,BQ42)+COUNTIF($DJ$26:$DJ$114,BQ42)+COUNTIF($DS$26:$DS$114,BQ42)+COUNTIF($EB$26:$EB$114,BQ42)+COUNTIF($EK$26:$EK$114,BQ42)+COUNTIF($I$69:$I$100,BQ42)-1)</f>
        <v>0</v>
      </c>
      <c r="BS42" s="98"/>
      <c r="BT42" s="98"/>
      <c r="BU42" s="98"/>
      <c r="BV42" s="98"/>
      <c r="BW42" s="98"/>
      <c r="BX42" s="98"/>
      <c r="BY42" s="98"/>
      <c r="BZ42" s="98"/>
      <c r="CA42" s="98"/>
      <c r="CB42" s="98"/>
      <c r="CC42" s="98"/>
      <c r="CD42" s="98"/>
      <c r="CE42" s="98"/>
      <c r="CF42" s="98"/>
      <c r="CG42" s="98"/>
      <c r="CH42" s="98"/>
      <c r="CI42" s="98"/>
      <c r="CJ42" s="98"/>
      <c r="CK42" s="98"/>
      <c r="CL42" s="98"/>
      <c r="CM42" s="98"/>
      <c r="CN42" s="98"/>
      <c r="CO42" s="98"/>
      <c r="CP42" s="98"/>
      <c r="CQ42" s="98"/>
      <c r="CR42" s="98"/>
      <c r="CS42" s="98"/>
      <c r="CT42" s="98"/>
      <c r="CU42" s="98"/>
      <c r="CV42" s="98"/>
      <c r="CW42" s="98"/>
      <c r="CX42" s="98"/>
      <c r="CY42" s="98"/>
      <c r="CZ42" s="98"/>
      <c r="DA42" s="98"/>
      <c r="DB42" s="98"/>
      <c r="DC42" s="98"/>
      <c r="DD42" s="98"/>
      <c r="DE42" s="98"/>
      <c r="DF42" s="98"/>
      <c r="DG42" s="98"/>
      <c r="DH42" s="98"/>
      <c r="DI42" s="98"/>
      <c r="DJ42" s="98"/>
      <c r="DK42" s="98"/>
      <c r="DL42" s="98"/>
      <c r="DM42" s="98"/>
      <c r="DN42" s="98"/>
      <c r="DO42" s="98"/>
      <c r="DP42" s="98"/>
      <c r="DQ42" s="98"/>
      <c r="DR42" s="98"/>
      <c r="DS42" s="98"/>
      <c r="DT42" s="98"/>
      <c r="DU42" s="98"/>
      <c r="DV42" s="98"/>
      <c r="DW42" s="98"/>
      <c r="DX42" s="98"/>
      <c r="DY42" s="98"/>
      <c r="DZ42" s="98"/>
      <c r="EA42" s="98"/>
      <c r="EB42" s="98"/>
      <c r="EC42" s="98"/>
      <c r="ED42" s="98"/>
      <c r="EE42" s="98"/>
      <c r="EF42" s="98"/>
      <c r="EG42" s="98"/>
      <c r="EH42" s="98"/>
      <c r="EI42" s="98"/>
      <c r="EJ42" s="98"/>
      <c r="EK42" s="98"/>
      <c r="EL42" s="98"/>
      <c r="EM42" s="93"/>
      <c r="EN42" s="129"/>
      <c r="EO42" s="330"/>
      <c r="EP42" s="15" t="s">
        <v>245</v>
      </c>
      <c r="EQ42" s="1">
        <v>2</v>
      </c>
      <c r="ER42" s="1">
        <v>2</v>
      </c>
      <c r="ES42" s="1" t="s">
        <v>277</v>
      </c>
      <c r="ET42" s="4" t="str">
        <f>IF(ER42=99,"", CONCATENATE("10.0.",TEXT(((BITWISE_AND('IP Address (no mod)'!$D$20,ES$22)/4)+ER42*8),"0"),".",TEXT((BITWISE_AND('IP Address (no mod)'!$D$21,ES$22)*64)+EO$39*10+EQ42,"0")))</f>
        <v>10.0.16.76</v>
      </c>
      <c r="EU42" s="100">
        <f>IF(ET42="",0,COUNTIF($ET$26:$ET$114,ET42)+COUNTIF($Z$26:$Z$114,ET42)+COUNTIF($AI$26:$AI$114,ET42)+COUNTIF($AR$26:$AR$114,ET42)+COUNTIF($AY$26:$AY$114,ET42)+COUNTIF($BH$26:$BH$114,ET42)+COUNTIF($BQ$26:$BQ$114,ET42)+COUNTIF($BZ$26:$BZ$114,ET42)+COUNTIF($CI$26:$CI$114,ET42)+COUNTIF($CR$26:$CR$114,ET42)+COUNTIF($DA$26:$DA$114,ET42)+COUNTIF($DJ$26:$DJ$114,ET42)+COUNTIF($DS$26:$DS$114,ET42)+COUNTIF($EB$26:$EB$114,ET42)+COUNTIF($EK$26:$EK$114,ET42)+COUNTIF($I$69:$I$100,ET42)-1)</f>
        <v>0</v>
      </c>
      <c r="EV42" s="95"/>
    </row>
    <row r="43" spans="1:152" ht="15.75" thickBot="1">
      <c r="A43" s="342"/>
      <c r="B43" s="98"/>
      <c r="C43" s="218"/>
      <c r="D43" s="202" t="s">
        <v>235</v>
      </c>
      <c r="E43" s="203" t="s">
        <v>187</v>
      </c>
      <c r="F43" s="203" t="s">
        <v>236</v>
      </c>
      <c r="G43" s="203" t="s">
        <v>182</v>
      </c>
      <c r="H43" s="203" t="s">
        <v>186</v>
      </c>
      <c r="I43" s="204" t="s">
        <v>237</v>
      </c>
      <c r="J43" s="232" t="s">
        <v>238</v>
      </c>
      <c r="K43" s="219"/>
      <c r="L43" s="202" t="s">
        <v>235</v>
      </c>
      <c r="M43" s="203" t="s">
        <v>187</v>
      </c>
      <c r="N43" s="203" t="s">
        <v>236</v>
      </c>
      <c r="O43" s="203" t="s">
        <v>182</v>
      </c>
      <c r="P43" s="203" t="s">
        <v>186</v>
      </c>
      <c r="Q43" s="204" t="s">
        <v>237</v>
      </c>
      <c r="R43" s="232" t="s">
        <v>238</v>
      </c>
      <c r="S43" s="95"/>
      <c r="T43" s="219"/>
      <c r="U43" s="330"/>
      <c r="V43" s="63" t="s">
        <v>248</v>
      </c>
      <c r="W43" s="63">
        <v>3</v>
      </c>
      <c r="X43" s="63">
        <v>2</v>
      </c>
      <c r="Y43" s="64" t="s">
        <v>278</v>
      </c>
      <c r="Z43" s="3" t="str">
        <f>IF(X43=99,"", CONCATENATE("10.0.",TEXT(((BITWISE_AND('IP Address (no mod)'!$D$20,Y$22)/4)+X43*8),"0"),".",TEXT((BITWISE_AND('IP Address (no mod)'!$D$21,Y$22)*64)+U$39*10+W43,"0")))</f>
        <v>10.0.16.141</v>
      </c>
      <c r="AA43" s="100">
        <f>IF(Z43="",0,COUNTIF($ET$26:$ET$114,Z43)+COUNTIF($Z$26:$Z$114,Z43)+COUNTIF($AI$26:$AI$114,Z43)+COUNTIF($AR$26:$AR$114,Z43)+COUNTIF($AY$26:$AY$114,Z43)+COUNTIF($BH$26:$BH$114,Z43)+COUNTIF($BQ$26:$BQ$114,Z43)+COUNTIF($BZ$26:$BZ$114,Z43)+COUNTIF($CI$26:$CI$114,Z43)+COUNTIF($CR$26:$CR$114,Z43)+COUNTIF($DA$26:$DA$114,Z43)+COUNTIF($DJ$26:$DJ$114,Z43)+COUNTIF($DS$26:$DS$114,Z43)+COUNTIF($EB$26:$EB$114,Z43)+COUNTIF($EK$26:$EK$114,Z43)+COUNTIF($I$69:$I$100,Z43)-1)</f>
        <v>0</v>
      </c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55"/>
      <c r="AM43" s="330"/>
      <c r="AN43" s="63" t="s">
        <v>248</v>
      </c>
      <c r="AO43" s="63">
        <v>3</v>
      </c>
      <c r="AP43" s="63">
        <v>2</v>
      </c>
      <c r="AQ43" s="64" t="s">
        <v>278</v>
      </c>
      <c r="AR43" s="3" t="str">
        <f>IF(AP43=99,"", CONCATENATE("10.0.",TEXT(((BITWISE_AND('IP Address (no mod)'!$D$20,AQ$22)/4)+AP43*8),"0"),".",TEXT((BITWISE_AND('IP Address (no mod)'!$D$21,AQ$22)*64)+AM$39*10+AO43,"0")))</f>
        <v>10.0.17.13</v>
      </c>
      <c r="AS43" s="100">
        <f>IF(AR43="",0,COUNTIF($ET$26:$ET$114,AR43)+COUNTIF($Z$26:$Z$114,AR43)+COUNTIF($AI$26:$AI$114,AR43)+COUNTIF($AR$26:$AR$114,AR43)+COUNTIF($AY$26:$AY$114,AR43)+COUNTIF($BH$26:$BH$114,AR43)+COUNTIF($BQ$26:$BQ$114,AR43)+COUNTIF($BZ$26:$BZ$114,AR43)+COUNTIF($CI$26:$CI$114,AR43)+COUNTIF($CR$26:$CR$114,AR43)+COUNTIF($DA$26:$DA$114,AR43)+COUNTIF($DJ$26:$DJ$114,AR43)+COUNTIF($DS$26:$DS$114,AR43)+COUNTIF($EB$26:$EB$114,AR43)+COUNTIF($EK$26:$EK$114,AR43)+COUNTIF($I$69:$I$100,AR43)-1)</f>
        <v>0</v>
      </c>
      <c r="AT43" s="66"/>
      <c r="AU43" s="66"/>
      <c r="AV43" s="66"/>
      <c r="AW43" s="66"/>
      <c r="AX43" s="66"/>
      <c r="AY43" s="66"/>
      <c r="AZ43" s="59"/>
      <c r="BA43" s="98"/>
      <c r="BB43" s="55"/>
      <c r="BC43" s="330"/>
      <c r="BD43" s="63" t="s">
        <v>248</v>
      </c>
      <c r="BE43" s="63">
        <v>3</v>
      </c>
      <c r="BF43" s="63">
        <v>2</v>
      </c>
      <c r="BG43" s="64" t="s">
        <v>278</v>
      </c>
      <c r="BH43" s="3" t="str">
        <f>IF(BF43=99,"", CONCATENATE("10.0.",TEXT(((BITWISE_AND('IP Address (no mod)'!$D$20,BG$22)/4)+BF43*8),"0"),".",TEXT((BITWISE_AND('IP Address (no mod)'!$D$21,BG$22)*64)+BC$39*10+BE43,"0")))</f>
        <v>10.0.17.77</v>
      </c>
      <c r="BI43" s="100">
        <f>IF(BH43="",0,COUNTIF($ET$26:$ET$114,BH43)+COUNTIF($Z$26:$Z$114,BH43)+COUNTIF($AI$26:$AI$114,BH43)+COUNTIF($AR$26:$AR$114,BH43)+COUNTIF($AY$26:$AY$114,BH43)+COUNTIF($BH$26:$BH$114,BH43)+COUNTIF($BQ$26:$BQ$114,BH43)+COUNTIF($BZ$26:$BZ$114,BH43)+COUNTIF($CI$26:$CI$114,BH43)+COUNTIF($CR$26:$CR$114,BH43)+COUNTIF($DA$26:$DA$114,BH43)+COUNTIF($DJ$26:$DJ$114,BH43)+COUNTIF($DS$26:$DS$114,BH43)+COUNTIF($EB$26:$EB$114,BH43)+COUNTIF($EK$26:$EK$114,BH43)+COUNTIF($I$69:$I$100,BH43)-1)</f>
        <v>0</v>
      </c>
      <c r="BJ43" s="98"/>
      <c r="BK43" s="55"/>
      <c r="BL43" s="330"/>
      <c r="BM43" s="63" t="s">
        <v>248</v>
      </c>
      <c r="BN43" s="63">
        <v>3</v>
      </c>
      <c r="BO43" s="63">
        <v>2</v>
      </c>
      <c r="BP43" s="64" t="s">
        <v>278</v>
      </c>
      <c r="BQ43" s="3" t="str">
        <f>IF(BO43=99,"", CONCATENATE("10.0.",TEXT(((BITWISE_AND('IP Address (no mod)'!$D$20,BP$22)/4)+BO43*8),"0"),".",TEXT((BITWISE_AND('IP Address (no mod)'!$D$21,BP$22)*64)+BL$39*10+BN43,"0")))</f>
        <v>10.0.17.141</v>
      </c>
      <c r="BR43" s="100">
        <f>IF(BQ43="",0,COUNTIF($ET$26:$ET$114,BQ43)+COUNTIF($Z$26:$Z$114,BQ43)+COUNTIF($AI$26:$AI$114,BQ43)+COUNTIF($AR$26:$AR$114,BQ43)+COUNTIF($AY$26:$AY$114,BQ43)+COUNTIF($BH$26:$BH$114,BQ43)+COUNTIF($BQ$26:$BQ$114,BQ43)+COUNTIF($BZ$26:$BZ$114,BQ43)+COUNTIF($CI$26:$CI$114,BQ43)+COUNTIF($CR$26:$CR$114,BQ43)+COUNTIF($DA$26:$DA$114,BQ43)+COUNTIF($DJ$26:$DJ$114,BQ43)+COUNTIF($DS$26:$DS$114,BQ43)+COUNTIF($EB$26:$EB$114,BQ43)+COUNTIF($EK$26:$EK$114,BQ43)+COUNTIF($I$69:$I$100,BQ43)-1)</f>
        <v>0</v>
      </c>
      <c r="BS43" s="98"/>
      <c r="BT43" s="98"/>
      <c r="BU43" s="98"/>
      <c r="BV43" s="98"/>
      <c r="BW43" s="98"/>
      <c r="BX43" s="98"/>
      <c r="BY43" s="98"/>
      <c r="BZ43" s="98"/>
      <c r="CA43" s="98"/>
      <c r="CB43" s="98"/>
      <c r="CC43" s="98"/>
      <c r="CD43" s="98"/>
      <c r="CE43" s="98"/>
      <c r="CF43" s="98"/>
      <c r="CG43" s="98"/>
      <c r="CH43" s="98"/>
      <c r="CI43" s="98"/>
      <c r="CJ43" s="98"/>
      <c r="CK43" s="98"/>
      <c r="CL43" s="98"/>
      <c r="CM43" s="98"/>
      <c r="CN43" s="98"/>
      <c r="CO43" s="98"/>
      <c r="CP43" s="98"/>
      <c r="CQ43" s="98"/>
      <c r="CR43" s="98"/>
      <c r="CS43" s="98"/>
      <c r="CT43" s="98"/>
      <c r="CU43" s="98"/>
      <c r="CV43" s="98"/>
      <c r="CW43" s="98"/>
      <c r="CX43" s="98"/>
      <c r="CY43" s="98"/>
      <c r="CZ43" s="98"/>
      <c r="DA43" s="98"/>
      <c r="DB43" s="98"/>
      <c r="DC43" s="98"/>
      <c r="DD43" s="98"/>
      <c r="DE43" s="98"/>
      <c r="DF43" s="98"/>
      <c r="DG43" s="98"/>
      <c r="DH43" s="98"/>
      <c r="DI43" s="98"/>
      <c r="DJ43" s="98"/>
      <c r="DK43" s="98"/>
      <c r="DL43" s="98"/>
      <c r="DM43" s="98"/>
      <c r="DN43" s="98"/>
      <c r="DO43" s="98"/>
      <c r="DP43" s="98"/>
      <c r="DQ43" s="98"/>
      <c r="DR43" s="98"/>
      <c r="DS43" s="98"/>
      <c r="DT43" s="98"/>
      <c r="DU43" s="98"/>
      <c r="DV43" s="98"/>
      <c r="DW43" s="98"/>
      <c r="DX43" s="98"/>
      <c r="DY43" s="98"/>
      <c r="DZ43" s="98"/>
      <c r="EA43" s="98"/>
      <c r="EB43" s="98"/>
      <c r="EC43" s="98"/>
      <c r="ED43" s="98"/>
      <c r="EE43" s="98"/>
      <c r="EF43" s="98"/>
      <c r="EG43" s="98"/>
      <c r="EH43" s="98"/>
      <c r="EI43" s="98"/>
      <c r="EJ43" s="98"/>
      <c r="EK43" s="98"/>
      <c r="EL43" s="98"/>
      <c r="EM43" s="93"/>
      <c r="EN43" s="129"/>
      <c r="EO43" s="330"/>
      <c r="EP43" s="15" t="s">
        <v>248</v>
      </c>
      <c r="EQ43" s="1">
        <v>3</v>
      </c>
      <c r="ER43" s="1">
        <v>2</v>
      </c>
      <c r="ES43" s="1" t="s">
        <v>278</v>
      </c>
      <c r="ET43" s="4" t="str">
        <f>IF(ER43=99,"", CONCATENATE("10.0.",TEXT(((BITWISE_AND('IP Address (no mod)'!$D$20,ES$22)/4)+ER43*8),"0"),".",TEXT((BITWISE_AND('IP Address (no mod)'!$D$21,ES$22)*64)+EO$39*10+EQ43,"0")))</f>
        <v>10.0.16.77</v>
      </c>
      <c r="EU43" s="100">
        <f>IF(ET43="",0,COUNTIF($ET$26:$ET$114,ET43)+COUNTIF($Z$26:$Z$114,ET43)+COUNTIF($AI$26:$AI$114,ET43)+COUNTIF($AR$26:$AR$114,ET43)+COUNTIF($AY$26:$AY$114,ET43)+COUNTIF($BH$26:$BH$114,ET43)+COUNTIF($BQ$26:$BQ$114,ET43)+COUNTIF($BZ$26:$BZ$114,ET43)+COUNTIF($CI$26:$CI$114,ET43)+COUNTIF($CR$26:$CR$114,ET43)+COUNTIF($DA$26:$DA$114,ET43)+COUNTIF($DJ$26:$DJ$114,ET43)+COUNTIF($DS$26:$DS$114,ET43)+COUNTIF($EB$26:$EB$114,ET43)+COUNTIF($EK$26:$EK$114,ET43)+COUNTIF($I$69:$I$100,ET43)-1)</f>
        <v>0</v>
      </c>
      <c r="EV43" s="95"/>
    </row>
    <row r="44" spans="1:152" ht="15.75" customHeight="1" thickBot="1">
      <c r="A44" s="342"/>
      <c r="B44" s="98"/>
      <c r="C44" s="55"/>
      <c r="D44" s="60">
        <v>1</v>
      </c>
      <c r="E44" s="139"/>
      <c r="F44" s="140">
        <v>1</v>
      </c>
      <c r="G44" s="141">
        <v>0</v>
      </c>
      <c r="H44" s="57" t="s">
        <v>239</v>
      </c>
      <c r="I44" s="221" t="str">
        <f>IF(G44=99,"", CONCATENATE("10.0.",TEXT(((BITWISE_AND('IP Address (no mod)'!$D$20,H$22)/4)+G44*8),"0"),".",TEXT((BITWISE_AND('IP Address (no mod)'!$D$21,H$22)*64)+D$44*10+F44,"0")))</f>
        <v>10.0.0.75</v>
      </c>
      <c r="J44" s="177">
        <f>COUNTIF($ET$26:$ET$114,I44)+COUNTIF($Z$26:$Z$114,I44)+COUNTIF($AI$26:$AI$114,I44)+COUNTIF($AR$26:$AR$114,I44)+COUNTIF($AY$26:$AY$114,I44)+COUNTIF($BH$26:$BH$114,I44)+COUNTIF($BQ$26:$BQ$114,I44)+COUNTIF($BZ$26:$BZ$114,I44)+COUNTIF($CI$26:$CI$114,I44)+COUNTIF($CR$26:$CR$114,I44)+COUNTIF($DA$26:$DA$114,I44)+COUNTIF($DJ$26:$DJ$114,I44)+COUNTIF($DS$26:$DS$114,I44)+COUNTIF($EB$26:$EB$114,I44)+COUNTIF($EK$26:$EK$114,I44)+COUNTIF($I$26:$I$100,I44)+COUNTIF($Q$26:$Q$114,I44)-1</f>
        <v>1</v>
      </c>
      <c r="K44" s="219"/>
      <c r="L44" s="60">
        <v>5</v>
      </c>
      <c r="M44" s="139"/>
      <c r="N44" s="140">
        <v>1</v>
      </c>
      <c r="O44" s="141">
        <v>0</v>
      </c>
      <c r="P44" s="57" t="s">
        <v>239</v>
      </c>
      <c r="Q44" s="227" t="str">
        <f>IF(O44=99,"", CONCATENATE("10.0.",TEXT(((BITWISE_AND('IP Address (no mod)'!$D$20,H$22)/4)+O44*8),"0"),".",TEXT((BITWISE_AND('IP Address (no mod)'!$D$21,H$22)*64)+L$44*10+N44,"0")))</f>
        <v>10.0.0.115</v>
      </c>
      <c r="R44" s="177">
        <f>COUNTIF($ET$26:$ET$114,Q44)+COUNTIF($Z$26:$Z$114,Q44)+COUNTIF($AI$26:$AI$114,Q44)+COUNTIF($AR$26:$AR$114,Q44)+COUNTIF($AY$26:$AY$114,Q44)+COUNTIF($BH$26:$BH$114,Q44)+COUNTIF($BQ$26:$BQ$114,Q44)+COUNTIF($BZ$26:$BZ$114,Q44)+COUNTIF($CI$26:$CI$114,Q44)+COUNTIF($CR$26:$CR$114,Q44)+COUNTIF($DA$26:$DA$114,Q44)+COUNTIF($DJ$26:$DJ$114,Q44)+COUNTIF($DS$26:$DS$114,Q44)+COUNTIF($EB$26:$EB$114,Q44)+COUNTIF($EK$26:$EK$114,Q44)+COUNTIF($I$26:$I$100,Q44)+COUNTIF($Q$26:$Q$114,Q44)-1</f>
        <v>0</v>
      </c>
      <c r="S44" s="95"/>
      <c r="T44" s="219"/>
      <c r="U44" s="330"/>
      <c r="V44" s="63" t="s">
        <v>251</v>
      </c>
      <c r="W44" s="63">
        <v>4</v>
      </c>
      <c r="X44" s="63">
        <v>99</v>
      </c>
      <c r="Y44" s="64"/>
      <c r="Z44" s="3" t="str">
        <f>IF(X44=99,"", CONCATENATE("10.0.",TEXT(((BITWISE_AND('IP Address (no mod)'!$D$20,Y$22)/4)+X44*8),"0"),".",TEXT((BITWISE_AND('IP Address (no mod)'!$D$21,Y$22)*64)+U$39*10+W44,"0")))</f>
        <v/>
      </c>
      <c r="AA44" s="100">
        <f>IF(Z44="",0,COUNTIF($ET$26:$ET$114,Z44)+COUNTIF($Z$26:$Z$114,Z44)+COUNTIF($AI$26:$AI$114,Z44)+COUNTIF($AR$26:$AR$114,Z44)+COUNTIF($AY$26:$AY$114,Z44)+COUNTIF($BH$26:$BH$114,Z44)+COUNTIF($BQ$26:$BQ$114,Z44)+COUNTIF($BZ$26:$BZ$114,Z44)+COUNTIF($CI$26:$CI$114,Z44)+COUNTIF($CR$26:$CR$114,Z44)+COUNTIF($DA$26:$DA$114,Z44)+COUNTIF($DJ$26:$DJ$114,Z44)+COUNTIF($DS$26:$DS$114,Z44)+COUNTIF($EB$26:$EB$114,Z44)+COUNTIF($EK$26:$EK$114,Z44)+COUNTIF($I$69:$I$100,Z44)-1)</f>
        <v>0</v>
      </c>
      <c r="AB44" s="98"/>
      <c r="AC44" s="98"/>
      <c r="AD44" s="98"/>
      <c r="AE44" s="98"/>
      <c r="AF44" s="98"/>
      <c r="AG44" s="98"/>
      <c r="AH44" s="98"/>
      <c r="AI44" s="98"/>
      <c r="AJ44" s="98"/>
      <c r="AK44" s="98"/>
      <c r="AL44" s="55"/>
      <c r="AM44" s="330"/>
      <c r="AN44" s="63" t="s">
        <v>251</v>
      </c>
      <c r="AO44" s="63">
        <v>4</v>
      </c>
      <c r="AP44" s="63">
        <v>3</v>
      </c>
      <c r="AQ44" s="62" t="s">
        <v>280</v>
      </c>
      <c r="AR44" s="3" t="str">
        <f>IF(AP44=99,"", CONCATENATE("10.0.",TEXT(((BITWISE_AND('IP Address (no mod)'!$D$20,AQ$22)/4)+AP44*8),"0"),".",TEXT((BITWISE_AND('IP Address (no mod)'!$D$21,AQ$22)*64)+AM$39*10+AO44,"0")))</f>
        <v>10.0.25.14</v>
      </c>
      <c r="AS44" s="100">
        <f>IF(AR44="",0,COUNTIF($ET$26:$ET$114,AR44)+COUNTIF($Z$26:$Z$114,AR44)+COUNTIF($AI$26:$AI$114,AR44)+COUNTIF($AR$26:$AR$114,AR44)+COUNTIF($AY$26:$AY$114,AR44)+COUNTIF($BH$26:$BH$114,AR44)+COUNTIF($BQ$26:$BQ$114,AR44)+COUNTIF($BZ$26:$BZ$114,AR44)+COUNTIF($CI$26:$CI$114,AR44)+COUNTIF($CR$26:$CR$114,AR44)+COUNTIF($DA$26:$DA$114,AR44)+COUNTIF($DJ$26:$DJ$114,AR44)+COUNTIF($DS$26:$DS$114,AR44)+COUNTIF($EB$26:$EB$114,AR44)+COUNTIF($EK$26:$EK$114,AR44)+COUNTIF($I$69:$I$100,AR44)-1)</f>
        <v>0</v>
      </c>
      <c r="AT44" s="66"/>
      <c r="AU44" s="66"/>
      <c r="AV44" s="66"/>
      <c r="AW44" s="66"/>
      <c r="AX44" s="66"/>
      <c r="AY44" s="66"/>
      <c r="AZ44" s="59"/>
      <c r="BA44" s="98"/>
      <c r="BB44" s="55"/>
      <c r="BC44" s="330"/>
      <c r="BD44" s="63" t="s">
        <v>251</v>
      </c>
      <c r="BE44" s="63">
        <v>4</v>
      </c>
      <c r="BF44" s="63">
        <v>99</v>
      </c>
      <c r="BG44" s="64"/>
      <c r="BH44" s="3" t="str">
        <f>IF(BF44=99,"", CONCATENATE("10.0.",TEXT(((BITWISE_AND('IP Address (no mod)'!$D$20,BG$22)/4)+BF44*8),"0"),".",TEXT((BITWISE_AND('IP Address (no mod)'!$D$21,BG$22)*64)+BC$39*10+BE44,"0")))</f>
        <v/>
      </c>
      <c r="BI44" s="100">
        <f>IF(BH44="",0,COUNTIF($ET$26:$ET$114,BH44)+COUNTIF($Z$26:$Z$114,BH44)+COUNTIF($AI$26:$AI$114,BH44)+COUNTIF($AR$26:$AR$114,BH44)+COUNTIF($AY$26:$AY$114,BH44)+COUNTIF($BH$26:$BH$114,BH44)+COUNTIF($BQ$26:$BQ$114,BH44)+COUNTIF($BZ$26:$BZ$114,BH44)+COUNTIF($CI$26:$CI$114,BH44)+COUNTIF($CR$26:$CR$114,BH44)+COUNTIF($DA$26:$DA$114,BH44)+COUNTIF($DJ$26:$DJ$114,BH44)+COUNTIF($DS$26:$DS$114,BH44)+COUNTIF($EB$26:$EB$114,BH44)+COUNTIF($EK$26:$EK$114,BH44)+COUNTIF($I$69:$I$100,BH44)-1)</f>
        <v>0</v>
      </c>
      <c r="BJ44" s="98"/>
      <c r="BK44" s="55"/>
      <c r="BL44" s="330"/>
      <c r="BM44" s="63" t="s">
        <v>251</v>
      </c>
      <c r="BN44" s="63">
        <v>4</v>
      </c>
      <c r="BO44" s="63">
        <v>99</v>
      </c>
      <c r="BP44" s="64"/>
      <c r="BQ44" s="3" t="str">
        <f>IF(BO44=99,"", CONCATENATE("10.0.",TEXT(((BITWISE_AND('IP Address (no mod)'!$D$20,BP$22)/4)+BO44*8),"0"),".",TEXT((BITWISE_AND('IP Address (no mod)'!$D$21,BP$22)*64)+BL$39*10+BN44,"0")))</f>
        <v/>
      </c>
      <c r="BR44" s="100">
        <f>IF(BQ44="",0,COUNTIF($ET$26:$ET$114,BQ44)+COUNTIF($Z$26:$Z$114,BQ44)+COUNTIF($AI$26:$AI$114,BQ44)+COUNTIF($AR$26:$AR$114,BQ44)+COUNTIF($AY$26:$AY$114,BQ44)+COUNTIF($BH$26:$BH$114,BQ44)+COUNTIF($BQ$26:$BQ$114,BQ44)+COUNTIF($BZ$26:$BZ$114,BQ44)+COUNTIF($CI$26:$CI$114,BQ44)+COUNTIF($CR$26:$CR$114,BQ44)+COUNTIF($DA$26:$DA$114,BQ44)+COUNTIF($DJ$26:$DJ$114,BQ44)+COUNTIF($DS$26:$DS$114,BQ44)+COUNTIF($EB$26:$EB$114,BQ44)+COUNTIF($EK$26:$EK$114,BQ44)+COUNTIF($I$69:$I$100,BQ44)-1)</f>
        <v>0</v>
      </c>
      <c r="BS44" s="98"/>
      <c r="BT44" s="98"/>
      <c r="BU44" s="98"/>
      <c r="BV44" s="98"/>
      <c r="BW44" s="98"/>
      <c r="BX44" s="98"/>
      <c r="BY44" s="98"/>
      <c r="BZ44" s="98"/>
      <c r="CA44" s="98"/>
      <c r="CB44" s="98"/>
      <c r="CC44" s="98"/>
      <c r="CD44" s="98"/>
      <c r="CE44" s="98"/>
      <c r="CF44" s="98"/>
      <c r="CG44" s="98"/>
      <c r="CH44" s="98"/>
      <c r="CI44" s="98"/>
      <c r="CJ44" s="98"/>
      <c r="CK44" s="98"/>
      <c r="CL44" s="98"/>
      <c r="CM44" s="98"/>
      <c r="CN44" s="98"/>
      <c r="CO44" s="98"/>
      <c r="CP44" s="98"/>
      <c r="CQ44" s="98"/>
      <c r="CR44" s="98"/>
      <c r="CS44" s="98"/>
      <c r="CT44" s="98"/>
      <c r="CU44" s="98"/>
      <c r="CV44" s="98"/>
      <c r="CW44" s="98"/>
      <c r="CX44" s="98"/>
      <c r="CY44" s="98"/>
      <c r="CZ44" s="98"/>
      <c r="DA44" s="98"/>
      <c r="DB44" s="98"/>
      <c r="DC44" s="98"/>
      <c r="DD44" s="98"/>
      <c r="DE44" s="98"/>
      <c r="DF44" s="98"/>
      <c r="DG44" s="98"/>
      <c r="DH44" s="98"/>
      <c r="DI44" s="98"/>
      <c r="DJ44" s="98"/>
      <c r="DK44" s="98"/>
      <c r="DL44" s="98"/>
      <c r="DM44" s="98"/>
      <c r="DN44" s="98"/>
      <c r="DO44" s="98"/>
      <c r="DP44" s="98"/>
      <c r="DQ44" s="98"/>
      <c r="DR44" s="98"/>
      <c r="DS44" s="98"/>
      <c r="DT44" s="98"/>
      <c r="DU44" s="98"/>
      <c r="DV44" s="98"/>
      <c r="DW44" s="98"/>
      <c r="DX44" s="98"/>
      <c r="DY44" s="98"/>
      <c r="DZ44" s="98"/>
      <c r="EA44" s="98"/>
      <c r="EB44" s="98"/>
      <c r="EC44" s="98"/>
      <c r="ED44" s="98"/>
      <c r="EE44" s="98"/>
      <c r="EF44" s="98"/>
      <c r="EG44" s="98"/>
      <c r="EH44" s="98"/>
      <c r="EI44" s="98"/>
      <c r="EJ44" s="98"/>
      <c r="EK44" s="98"/>
      <c r="EL44" s="98"/>
      <c r="EM44" s="93"/>
      <c r="EN44" s="129"/>
      <c r="EO44" s="330"/>
      <c r="EP44" s="15" t="s">
        <v>251</v>
      </c>
      <c r="EQ44" s="1">
        <v>4</v>
      </c>
      <c r="ER44" s="1">
        <v>4</v>
      </c>
      <c r="ES44" s="1" t="s">
        <v>279</v>
      </c>
      <c r="ET44" s="4" t="str">
        <f>IF(ER44=99,"", CONCATENATE("10.0.",TEXT(((BITWISE_AND('IP Address (no mod)'!$D$20,ES$22)/4)+ER44*8),"0"),".",TEXT((BITWISE_AND('IP Address (no mod)'!$D$21,ES$22)*64)+EO$39*10+EQ44,"0")))</f>
        <v>10.0.32.78</v>
      </c>
      <c r="EU44" s="100">
        <f>IF(ET44="",0,COUNTIF($ET$26:$ET$114,ET44)+COUNTIF($Z$26:$Z$114,ET44)+COUNTIF($AI$26:$AI$114,ET44)+COUNTIF($AR$26:$AR$114,ET44)+COUNTIF($AY$26:$AY$114,ET44)+COUNTIF($BH$26:$BH$114,ET44)+COUNTIF($BQ$26:$BQ$114,ET44)+COUNTIF($BZ$26:$BZ$114,ET44)+COUNTIF($CI$26:$CI$114,ET44)+COUNTIF($CR$26:$CR$114,ET44)+COUNTIF($DA$26:$DA$114,ET44)+COUNTIF($DJ$26:$DJ$114,ET44)+COUNTIF($DS$26:$DS$114,ET44)+COUNTIF($EB$26:$EB$114,ET44)+COUNTIF($EK$26:$EK$114,ET44)+COUNTIF($I$69:$I$100,ET44)-1)</f>
        <v>0</v>
      </c>
      <c r="EV44" s="95"/>
    </row>
    <row r="45" spans="1:152" ht="15.75" customHeight="1">
      <c r="A45" s="342"/>
      <c r="B45" s="98"/>
      <c r="C45" s="55"/>
      <c r="D45" s="329" t="s">
        <v>271</v>
      </c>
      <c r="E45" s="61" t="s">
        <v>241</v>
      </c>
      <c r="F45" s="61">
        <v>1</v>
      </c>
      <c r="G45" s="63">
        <v>1</v>
      </c>
      <c r="H45" s="62" t="s">
        <v>467</v>
      </c>
      <c r="I45" s="222" t="str">
        <f>IF(G45=99,"", CONCATENATE("10.0.",TEXT(((BITWISE_AND('IP Address (no mod)'!$D$20,H$22)/4)+G27*8),"0"),".",TEXT((BITWISE_AND('IP Address (no mod)'!$D$21,H$22)*64)+D$44*10+F45,"0")))</f>
        <v>10.0.8.75</v>
      </c>
      <c r="J45" s="178">
        <f>IF(I45="",0,COUNTIF($ET$26:$ET$114,I45)+COUNTIF($Z$26:$Z$114,I45)+COUNTIF($AI$26:$AI$114,I45)+COUNTIF($AR$26:$AR$114,I45)+COUNTIF($AY$26:$AY$114,I45)+COUNTIF($BH$26:$BH$114,I45)+COUNTIF($BQ$26:$BQ$114,I45)+COUNTIF($BZ$26:$BZ$114,I45)+COUNTIF($CI$26:$CI$114,I45)+COUNTIF($CR$26:$CR$114,I45)+COUNTIF($DA$26:$DA$114,I45)+COUNTIF($DJ$26:$DJ$114,I45)+COUNTIF($DS$26:$DS$114,I45)+COUNTIF($EB$26:$EB$114,I45)+COUNTIF($EK$26:$EK$114,I45)+COUNTIF($I$26:$I$100,I45)+COUNTIF($Q$26:$Q$114,I45)-1)</f>
        <v>0</v>
      </c>
      <c r="K45" s="219"/>
      <c r="L45" s="344" t="s">
        <v>514</v>
      </c>
      <c r="M45" s="83" t="s">
        <v>241</v>
      </c>
      <c r="N45" s="65">
        <v>0</v>
      </c>
      <c r="O45" s="65">
        <v>1</v>
      </c>
      <c r="P45" s="62" t="s">
        <v>468</v>
      </c>
      <c r="Q45" s="226" t="str">
        <f>IF(O45=99,"", CONCATENATE("10.0.",TEXT(((BITWISE_AND('IP Address (no mod)'!$D$20,H$22)/4)+O27*8),"0"),".",TEXT((BITWISE_AND('IP Address (no mod)'!$D$21,H$22)*64)+L$44*10+N45,"0")))</f>
        <v>10.0.8.114</v>
      </c>
      <c r="R45" s="178">
        <f>IF(Q45="",0,COUNTIF($ET$26:$ET$114,Q45)+COUNTIF($Z$26:$Z$114,Q45)+COUNTIF($AI$26:$AI$114,Q45)+COUNTIF($AR$26:$AR$114,Q45)+COUNTIF($AY$26:$AY$114,Q45)+COUNTIF($BH$26:$BH$114,Q45)+COUNTIF($BQ$26:$BQ$114,Q45)+COUNTIF($BZ$26:$BZ$114,Q45)+COUNTIF($CI$26:$CI$114,Q45)+COUNTIF($CR$26:$CR$114,Q45)+COUNTIF($DA$26:$DA$114,Q45)+COUNTIF($DJ$26:$DJ$114,Q45)+COUNTIF($DS$26:$DS$114,Q45)+COUNTIF($EB$26:$EB$114,Q45)+COUNTIF($EK$26:$EK$114,Q45)+COUNTIF($I$26:$I$100,Q45)+COUNTIF($Q$26:$Q$114,Q45)-1)</f>
        <v>0</v>
      </c>
      <c r="S45" s="95"/>
      <c r="T45" s="219"/>
      <c r="U45" s="330"/>
      <c r="V45" s="63" t="s">
        <v>254</v>
      </c>
      <c r="W45" s="63">
        <v>5</v>
      </c>
      <c r="X45" s="63">
        <v>3</v>
      </c>
      <c r="Y45" s="64" t="s">
        <v>281</v>
      </c>
      <c r="Z45" s="3" t="str">
        <f>IF(X45=99,"", CONCATENATE("10.0.",TEXT(((BITWISE_AND('IP Address (no mod)'!$D$20,Y$22)/4)+X45*8),"0"),".",TEXT((BITWISE_AND('IP Address (no mod)'!$D$21,Y$22)*64)+U$39*10+W45,"0")))</f>
        <v>10.0.24.143</v>
      </c>
      <c r="AA45" s="100">
        <f>IF(Z45="",0,COUNTIF($ET$26:$ET$114,Z45)+COUNTIF($Z$26:$Z$114,Z45)+COUNTIF($AI$26:$AI$114,Z45)+COUNTIF($AR$26:$AR$114,Z45)+COUNTIF($AY$26:$AY$114,Z45)+COUNTIF($BH$26:$BH$114,Z45)+COUNTIF($BQ$26:$BQ$114,Z45)+COUNTIF($BZ$26:$BZ$114,Z45)+COUNTIF($CI$26:$CI$114,Z45)+COUNTIF($CR$26:$CR$114,Z45)+COUNTIF($DA$26:$DA$114,Z45)+COUNTIF($DJ$26:$DJ$114,Z45)+COUNTIF($DS$26:$DS$114,Z45)+COUNTIF($EB$26:$EB$114,Z45)+COUNTIF($EK$26:$EK$114,Z45)+COUNTIF($I$69:$I$100,Z45)-1)</f>
        <v>0</v>
      </c>
      <c r="AB45" s="98"/>
      <c r="AC45" s="98"/>
      <c r="AD45" s="98"/>
      <c r="AE45" s="98"/>
      <c r="AF45" s="98"/>
      <c r="AG45" s="98"/>
      <c r="AH45" s="98"/>
      <c r="AI45" s="98"/>
      <c r="AJ45" s="98"/>
      <c r="AK45" s="98"/>
      <c r="AL45" s="55"/>
      <c r="AM45" s="330"/>
      <c r="AN45" s="63" t="s">
        <v>254</v>
      </c>
      <c r="AO45" s="63">
        <v>5</v>
      </c>
      <c r="AP45" s="63">
        <v>3</v>
      </c>
      <c r="AQ45" s="64" t="s">
        <v>281</v>
      </c>
      <c r="AR45" s="3" t="str">
        <f>IF(AP45=99,"", CONCATENATE("10.0.",TEXT(((BITWISE_AND('IP Address (no mod)'!$D$20,AQ$22)/4)+AP45*8),"0"),".",TEXT((BITWISE_AND('IP Address (no mod)'!$D$21,AQ$22)*64)+AM$39*10+AO45,"0")))</f>
        <v>10.0.25.15</v>
      </c>
      <c r="AS45" s="100">
        <f>IF(AR45="",0,COUNTIF($ET$26:$ET$114,AR45)+COUNTIF($Z$26:$Z$114,AR45)+COUNTIF($AI$26:$AI$114,AR45)+COUNTIF($AR$26:$AR$114,AR45)+COUNTIF($AY$26:$AY$114,AR45)+COUNTIF($BH$26:$BH$114,AR45)+COUNTIF($BQ$26:$BQ$114,AR45)+COUNTIF($BZ$26:$BZ$114,AR45)+COUNTIF($CI$26:$CI$114,AR45)+COUNTIF($CR$26:$CR$114,AR45)+COUNTIF($DA$26:$DA$114,AR45)+COUNTIF($DJ$26:$DJ$114,AR45)+COUNTIF($DS$26:$DS$114,AR45)+COUNTIF($EB$26:$EB$114,AR45)+COUNTIF($EK$26:$EK$114,AR45)+COUNTIF($I$69:$I$100,AR45)-1)</f>
        <v>0</v>
      </c>
      <c r="AT45" s="66"/>
      <c r="AU45" s="66"/>
      <c r="AV45" s="66"/>
      <c r="AW45" s="66"/>
      <c r="AX45" s="1"/>
      <c r="AY45" s="66"/>
      <c r="AZ45" s="59"/>
      <c r="BA45" s="98"/>
      <c r="BB45" s="55"/>
      <c r="BC45" s="330"/>
      <c r="BD45" s="63" t="s">
        <v>254</v>
      </c>
      <c r="BE45" s="63">
        <v>5</v>
      </c>
      <c r="BF45" s="63">
        <v>3</v>
      </c>
      <c r="BG45" s="64" t="s">
        <v>281</v>
      </c>
      <c r="BH45" s="3" t="str">
        <f>IF(BF45=99,"", CONCATENATE("10.0.",TEXT(((BITWISE_AND('IP Address (no mod)'!$D$20,BG$22)/4)+BF45*8),"0"),".",TEXT((BITWISE_AND('IP Address (no mod)'!$D$21,BG$22)*64)+BC$39*10+BE45,"0")))</f>
        <v>10.0.25.79</v>
      </c>
      <c r="BI45" s="100">
        <f>IF(BH45="",0,COUNTIF($ET$26:$ET$114,BH45)+COUNTIF($Z$26:$Z$114,BH45)+COUNTIF($AI$26:$AI$114,BH45)+COUNTIF($AR$26:$AR$114,BH45)+COUNTIF($AY$26:$AY$114,BH45)+COUNTIF($BH$26:$BH$114,BH45)+COUNTIF($BQ$26:$BQ$114,BH45)+COUNTIF($BZ$26:$BZ$114,BH45)+COUNTIF($CI$26:$CI$114,BH45)+COUNTIF($CR$26:$CR$114,BH45)+COUNTIF($DA$26:$DA$114,BH45)+COUNTIF($DJ$26:$DJ$114,BH45)+COUNTIF($DS$26:$DS$114,BH45)+COUNTIF($EB$26:$EB$114,BH45)+COUNTIF($EK$26:$EK$114,BH45)+COUNTIF($I$69:$I$100,BH45)-1)</f>
        <v>0</v>
      </c>
      <c r="BJ45" s="98"/>
      <c r="BK45" s="55"/>
      <c r="BL45" s="330"/>
      <c r="BM45" s="63" t="s">
        <v>254</v>
      </c>
      <c r="BN45" s="63">
        <v>5</v>
      </c>
      <c r="BO45" s="63">
        <v>3</v>
      </c>
      <c r="BP45" s="64" t="s">
        <v>281</v>
      </c>
      <c r="BQ45" s="3" t="str">
        <f>IF(BO45=99,"", CONCATENATE("10.0.",TEXT(((BITWISE_AND('IP Address (no mod)'!$D$20,BP$22)/4)+BO45*8),"0"),".",TEXT((BITWISE_AND('IP Address (no mod)'!$D$21,BP$22)*64)+BL$39*10+BN45,"0")))</f>
        <v>10.0.25.143</v>
      </c>
      <c r="BR45" s="100">
        <f>IF(BQ45="",0,COUNTIF($ET$26:$ET$114,BQ45)+COUNTIF($Z$26:$Z$114,BQ45)+COUNTIF($AI$26:$AI$114,BQ45)+COUNTIF($AR$26:$AR$114,BQ45)+COUNTIF($AY$26:$AY$114,BQ45)+COUNTIF($BH$26:$BH$114,BQ45)+COUNTIF($BQ$26:$BQ$114,BQ45)+COUNTIF($BZ$26:$BZ$114,BQ45)+COUNTIF($CI$26:$CI$114,BQ45)+COUNTIF($CR$26:$CR$114,BQ45)+COUNTIF($DA$26:$DA$114,BQ45)+COUNTIF($DJ$26:$DJ$114,BQ45)+COUNTIF($DS$26:$DS$114,BQ45)+COUNTIF($EB$26:$EB$114,BQ45)+COUNTIF($EK$26:$EK$114,BQ45)+COUNTIF($I$69:$I$100,BQ45)-1)</f>
        <v>0</v>
      </c>
      <c r="BS45" s="98"/>
      <c r="BT45" s="98"/>
      <c r="BU45" s="98"/>
      <c r="BV45" s="98"/>
      <c r="BW45" s="98"/>
      <c r="BX45" s="98"/>
      <c r="BY45" s="98"/>
      <c r="BZ45" s="98"/>
      <c r="CA45" s="98"/>
      <c r="CB45" s="98"/>
      <c r="CC45" s="98"/>
      <c r="CD45" s="98"/>
      <c r="CE45" s="98"/>
      <c r="CF45" s="98"/>
      <c r="CG45" s="98"/>
      <c r="CH45" s="98"/>
      <c r="CI45" s="98"/>
      <c r="CJ45" s="98"/>
      <c r="CK45" s="98"/>
      <c r="CL45" s="98"/>
      <c r="CM45" s="98"/>
      <c r="CN45" s="98"/>
      <c r="CO45" s="98"/>
      <c r="CP45" s="98"/>
      <c r="CQ45" s="98"/>
      <c r="CR45" s="98"/>
      <c r="CS45" s="98"/>
      <c r="CT45" s="98"/>
      <c r="CU45" s="98"/>
      <c r="CV45" s="98"/>
      <c r="CW45" s="98"/>
      <c r="CX45" s="98"/>
      <c r="CY45" s="98"/>
      <c r="CZ45" s="98"/>
      <c r="DA45" s="98"/>
      <c r="DB45" s="98"/>
      <c r="DC45" s="98"/>
      <c r="DD45" s="98"/>
      <c r="DE45" s="98"/>
      <c r="DF45" s="98"/>
      <c r="DG45" s="98"/>
      <c r="DH45" s="98"/>
      <c r="DI45" s="98"/>
      <c r="DJ45" s="98"/>
      <c r="DK45" s="98"/>
      <c r="DL45" s="98"/>
      <c r="DM45" s="98"/>
      <c r="DN45" s="98"/>
      <c r="DO45" s="98"/>
      <c r="DP45" s="98"/>
      <c r="DQ45" s="98"/>
      <c r="DR45" s="98"/>
      <c r="DS45" s="98"/>
      <c r="DT45" s="98"/>
      <c r="DU45" s="98"/>
      <c r="DV45" s="98"/>
      <c r="DW45" s="98"/>
      <c r="DX45" s="98"/>
      <c r="DY45" s="98"/>
      <c r="DZ45" s="98"/>
      <c r="EA45" s="98"/>
      <c r="EB45" s="98"/>
      <c r="EC45" s="98"/>
      <c r="ED45" s="98"/>
      <c r="EE45" s="98"/>
      <c r="EF45" s="98"/>
      <c r="EG45" s="98"/>
      <c r="EH45" s="98"/>
      <c r="EI45" s="98"/>
      <c r="EJ45" s="98"/>
      <c r="EK45" s="98"/>
      <c r="EL45" s="98"/>
      <c r="EM45" s="93"/>
      <c r="EN45" s="129"/>
      <c r="EO45" s="330"/>
      <c r="EP45" s="15" t="s">
        <v>254</v>
      </c>
      <c r="EQ45" s="1">
        <v>5</v>
      </c>
      <c r="ER45" s="1">
        <v>3</v>
      </c>
      <c r="ES45" s="1" t="s">
        <v>281</v>
      </c>
      <c r="ET45" s="4" t="str">
        <f>IF(ER45=99,"", CONCATENATE("10.0.",TEXT(((BITWISE_AND('IP Address (no mod)'!$D$20,ES$22)/4)+ER45*8),"0"),".",TEXT((BITWISE_AND('IP Address (no mod)'!$D$21,ES$22)*64)+EO$39*10+EQ45,"0")))</f>
        <v>10.0.24.79</v>
      </c>
      <c r="EU45" s="100">
        <f>IF(ET45="",0,COUNTIF($ET$26:$ET$114,ET45)+COUNTIF($Z$26:$Z$114,ET45)+COUNTIF($AI$26:$AI$114,ET45)+COUNTIF($AR$26:$AR$114,ET45)+COUNTIF($AY$26:$AY$114,ET45)+COUNTIF($BH$26:$BH$114,ET45)+COUNTIF($BQ$26:$BQ$114,ET45)+COUNTIF($BZ$26:$BZ$114,ET45)+COUNTIF($CI$26:$CI$114,ET45)+COUNTIF($CR$26:$CR$114,ET45)+COUNTIF($DA$26:$DA$114,ET45)+COUNTIF($DJ$26:$DJ$114,ET45)+COUNTIF($DS$26:$DS$114,ET45)+COUNTIF($EB$26:$EB$114,ET45)+COUNTIF($EK$26:$EK$114,ET45)+COUNTIF($I$69:$I$100,ET45)-1)</f>
        <v>0</v>
      </c>
      <c r="EV45" s="95"/>
    </row>
    <row r="46" spans="1:152" ht="15" customHeight="1">
      <c r="A46" s="342"/>
      <c r="B46" s="98"/>
      <c r="C46" s="55"/>
      <c r="D46" s="330"/>
      <c r="E46" s="63" t="s">
        <v>243</v>
      </c>
      <c r="F46" s="63">
        <v>1</v>
      </c>
      <c r="G46" s="63">
        <v>3</v>
      </c>
      <c r="H46" s="64" t="s">
        <v>469</v>
      </c>
      <c r="I46" s="222" t="str">
        <f>IF(G46=99,"", CONCATENATE("10.0.",TEXT(((BITWISE_AND('IP Address (no mod)'!$D$20,H$22)/4)+G46*8),"0"),".",TEXT((BITWISE_AND('IP Address (no mod)'!$D$21,H$22)*64)+D$44*10+F46,"0")))</f>
        <v>10.0.24.75</v>
      </c>
      <c r="J46" s="178">
        <f>IF(I46="",0,COUNTIF($ET$26:$ET$114,I46)+COUNTIF($Z$26:$Z$114,I46)+COUNTIF($AI$26:$AI$114,I46)+COUNTIF($AR$26:$AR$114,I46)+COUNTIF($AY$26:$AY$114,I46)+COUNTIF($BH$26:$BH$114,I46)+COUNTIF($BQ$26:$BQ$114,I46)+COUNTIF($BZ$26:$BZ$114,I46)+COUNTIF($CI$26:$CI$114,I46)+COUNTIF($CR$26:$CR$114,I46)+COUNTIF($DA$26:$DA$114,I46)+COUNTIF($DJ$26:$DJ$114,I46)+COUNTIF($DS$26:$DS$114,I46)+COUNTIF($EB$26:$EB$114,I46)+COUNTIF($EK$26:$EK$114,I46)+COUNTIF($I$26:$I$100,I46)+COUNTIF($Q$26:$Q$114,I46)-1)</f>
        <v>0</v>
      </c>
      <c r="K46" s="219"/>
      <c r="L46" s="330"/>
      <c r="M46" s="15" t="s">
        <v>243</v>
      </c>
      <c r="N46" s="1">
        <v>1</v>
      </c>
      <c r="O46" s="65">
        <v>1</v>
      </c>
      <c r="P46" s="1" t="s">
        <v>470</v>
      </c>
      <c r="Q46" s="222" t="str">
        <f>IF(O46=99,"", CONCATENATE("10.0.",TEXT(((BITWISE_AND('IP Address (no mod)'!$D$20,H$22)/4)+O46*8),"0"),".",TEXT((BITWISE_AND('IP Address (no mod)'!$D$21,H$22)*64)+L$44*10+N46,"0")))</f>
        <v>10.0.8.115</v>
      </c>
      <c r="R46" s="178">
        <f>IF(Q46="",0,COUNTIF($ET$26:$ET$114,Q46)+COUNTIF($Z$26:$Z$114,Q46)+COUNTIF($AI$26:$AI$114,Q46)+COUNTIF($AR$26:$AR$114,Q46)+COUNTIF($AY$26:$AY$114,Q46)+COUNTIF($BH$26:$BH$114,Q46)+COUNTIF($BQ$26:$BQ$114,Q46)+COUNTIF($BZ$26:$BZ$114,Q46)+COUNTIF($CI$26:$CI$114,Q46)+COUNTIF($CR$26:$CR$114,Q46)+COUNTIF($DA$26:$DA$114,Q46)+COUNTIF($DJ$26:$DJ$114,Q46)+COUNTIF($DS$26:$DS$114,Q46)+COUNTIF($EB$26:$EB$114,Q46)+COUNTIF($EK$26:$EK$114,Q46)+COUNTIF($I$26:$I$100,Q46)+COUNTIF($Q$26:$Q$114,Q46)-1)</f>
        <v>0</v>
      </c>
      <c r="S46" s="95"/>
      <c r="T46" s="219"/>
      <c r="U46" s="330"/>
      <c r="V46" s="63" t="s">
        <v>257</v>
      </c>
      <c r="W46" s="63">
        <v>6</v>
      </c>
      <c r="X46" s="63">
        <v>3</v>
      </c>
      <c r="Y46" s="64" t="s">
        <v>282</v>
      </c>
      <c r="Z46" s="3" t="str">
        <f>IF(X46=99,"", CONCATENATE("10.0.",TEXT(((BITWISE_AND('IP Address (no mod)'!$D$20,Y$22)/4)+X46*8),"0"),".",TEXT((BITWISE_AND('IP Address (no mod)'!$D$21,Y$22)*64)+U$39*10+W46,"0")))</f>
        <v>10.0.24.144</v>
      </c>
      <c r="AA46" s="100">
        <f>IF(Z46="",0,COUNTIF($ET$26:$ET$114,Z46)+COUNTIF($Z$26:$Z$114,Z46)+COUNTIF($AI$26:$AI$114,Z46)+COUNTIF($AR$26:$AR$114,Z46)+COUNTIF($AY$26:$AY$114,Z46)+COUNTIF($BH$26:$BH$114,Z46)+COUNTIF($BQ$26:$BQ$114,Z46)+COUNTIF($BZ$26:$BZ$114,Z46)+COUNTIF($CI$26:$CI$114,Z46)+COUNTIF($CR$26:$CR$114,Z46)+COUNTIF($DA$26:$DA$114,Z46)+COUNTIF($DJ$26:$DJ$114,Z46)+COUNTIF($DS$26:$DS$114,Z46)+COUNTIF($EB$26:$EB$114,Z46)+COUNTIF($EK$26:$EK$114,Z46)+COUNTIF($I$69:$I$100,Z46)-1)</f>
        <v>0</v>
      </c>
      <c r="AB46" s="98"/>
      <c r="AC46" s="98"/>
      <c r="AD46" s="98"/>
      <c r="AE46" s="98"/>
      <c r="AF46" s="98"/>
      <c r="AG46" s="98"/>
      <c r="AH46" s="98"/>
      <c r="AI46" s="98"/>
      <c r="AJ46" s="98"/>
      <c r="AK46" s="98"/>
      <c r="AL46" s="55"/>
      <c r="AM46" s="330"/>
      <c r="AN46" s="63" t="s">
        <v>257</v>
      </c>
      <c r="AO46" s="63">
        <v>6</v>
      </c>
      <c r="AP46" s="63">
        <v>3</v>
      </c>
      <c r="AQ46" s="64" t="s">
        <v>282</v>
      </c>
      <c r="AR46" s="3" t="str">
        <f>IF(AP46=99,"", CONCATENATE("10.0.",TEXT(((BITWISE_AND('IP Address (no mod)'!$D$20,AQ$22)/4)+AP46*8),"0"),".",TEXT((BITWISE_AND('IP Address (no mod)'!$D$21,AQ$22)*64)+AM$39*10+AO46,"0")))</f>
        <v>10.0.25.16</v>
      </c>
      <c r="AS46" s="100">
        <f>IF(AR46="",0,COUNTIF($ET$26:$ET$114,AR46)+COUNTIF($Z$26:$Z$114,AR46)+COUNTIF($AI$26:$AI$114,AR46)+COUNTIF($AR$26:$AR$114,AR46)+COUNTIF($AY$26:$AY$114,AR46)+COUNTIF($BH$26:$BH$114,AR46)+COUNTIF($BQ$26:$BQ$114,AR46)+COUNTIF($BZ$26:$BZ$114,AR46)+COUNTIF($CI$26:$CI$114,AR46)+COUNTIF($CR$26:$CR$114,AR46)+COUNTIF($DA$26:$DA$114,AR46)+COUNTIF($DJ$26:$DJ$114,AR46)+COUNTIF($DS$26:$DS$114,AR46)+COUNTIF($EB$26:$EB$114,AR46)+COUNTIF($EK$26:$EK$114,AR46)+COUNTIF($I$69:$I$100,AR46)-1)</f>
        <v>0</v>
      </c>
      <c r="AT46" s="66"/>
      <c r="AU46" s="66"/>
      <c r="AV46" s="66"/>
      <c r="AW46" s="66"/>
      <c r="AX46" s="66"/>
      <c r="AY46" s="66"/>
      <c r="AZ46" s="59"/>
      <c r="BA46" s="98"/>
      <c r="BB46" s="55"/>
      <c r="BC46" s="330"/>
      <c r="BD46" s="63" t="s">
        <v>257</v>
      </c>
      <c r="BE46" s="63">
        <v>6</v>
      </c>
      <c r="BF46" s="63">
        <v>3</v>
      </c>
      <c r="BG46" s="64" t="s">
        <v>282</v>
      </c>
      <c r="BH46" s="3" t="str">
        <f>IF(BF46=99,"", CONCATENATE("10.0.",TEXT(((BITWISE_AND('IP Address (no mod)'!$D$20,BG$22)/4)+BF46*8),"0"),".",TEXT((BITWISE_AND('IP Address (no mod)'!$D$21,BG$22)*64)+BC$39*10+BE46,"0")))</f>
        <v>10.0.25.80</v>
      </c>
      <c r="BI46" s="100">
        <f>IF(BH46="",0,COUNTIF($ET$26:$ET$114,BH46)+COUNTIF($Z$26:$Z$114,BH46)+COUNTIF($AI$26:$AI$114,BH46)+COUNTIF($AR$26:$AR$114,BH46)+COUNTIF($AY$26:$AY$114,BH46)+COUNTIF($BH$26:$BH$114,BH46)+COUNTIF($BQ$26:$BQ$114,BH46)+COUNTIF($BZ$26:$BZ$114,BH46)+COUNTIF($CI$26:$CI$114,BH46)+COUNTIF($CR$26:$CR$114,BH46)+COUNTIF($DA$26:$DA$114,BH46)+COUNTIF($DJ$26:$DJ$114,BH46)+COUNTIF($DS$26:$DS$114,BH46)+COUNTIF($EB$26:$EB$114,BH46)+COUNTIF($EK$26:$EK$114,BH46)+COUNTIF($I$69:$I$100,BH46)-1)</f>
        <v>0</v>
      </c>
      <c r="BJ46" s="98"/>
      <c r="BK46" s="55"/>
      <c r="BL46" s="330"/>
      <c r="BM46" s="63" t="s">
        <v>257</v>
      </c>
      <c r="BN46" s="63">
        <v>6</v>
      </c>
      <c r="BO46" s="63">
        <v>3</v>
      </c>
      <c r="BP46" s="64" t="s">
        <v>282</v>
      </c>
      <c r="BQ46" s="3" t="str">
        <f>IF(BO46=99,"", CONCATENATE("10.0.",TEXT(((BITWISE_AND('IP Address (no mod)'!$D$20,BP$22)/4)+BO46*8),"0"),".",TEXT((BITWISE_AND('IP Address (no mod)'!$D$21,BP$22)*64)+BL$39*10+BN46,"0")))</f>
        <v>10.0.25.144</v>
      </c>
      <c r="BR46" s="100">
        <f>IF(BQ46="",0,COUNTIF($ET$26:$ET$114,BQ46)+COUNTIF($Z$26:$Z$114,BQ46)+COUNTIF($AI$26:$AI$114,BQ46)+COUNTIF($AR$26:$AR$114,BQ46)+COUNTIF($AY$26:$AY$114,BQ46)+COUNTIF($BH$26:$BH$114,BQ46)+COUNTIF($BQ$26:$BQ$114,BQ46)+COUNTIF($BZ$26:$BZ$114,BQ46)+COUNTIF($CI$26:$CI$114,BQ46)+COUNTIF($CR$26:$CR$114,BQ46)+COUNTIF($DA$26:$DA$114,BQ46)+COUNTIF($DJ$26:$DJ$114,BQ46)+COUNTIF($DS$26:$DS$114,BQ46)+COUNTIF($EB$26:$EB$114,BQ46)+COUNTIF($EK$26:$EK$114,BQ46)+COUNTIF($I$69:$I$100,BQ46)-1)</f>
        <v>0</v>
      </c>
      <c r="BS46" s="98"/>
      <c r="BT46" s="98"/>
      <c r="BU46" s="98"/>
      <c r="BV46" s="98"/>
      <c r="BW46" s="98"/>
      <c r="BX46" s="98"/>
      <c r="BY46" s="98"/>
      <c r="BZ46" s="98"/>
      <c r="CA46" s="98"/>
      <c r="CB46" s="98"/>
      <c r="CC46" s="98"/>
      <c r="CD46" s="98"/>
      <c r="CE46" s="98"/>
      <c r="CF46" s="98"/>
      <c r="CG46" s="98"/>
      <c r="CH46" s="98"/>
      <c r="CI46" s="98"/>
      <c r="CJ46" s="98"/>
      <c r="CK46" s="98"/>
      <c r="CL46" s="98"/>
      <c r="CM46" s="98"/>
      <c r="CN46" s="98"/>
      <c r="CO46" s="98"/>
      <c r="CP46" s="98"/>
      <c r="CQ46" s="98"/>
      <c r="CR46" s="98"/>
      <c r="CS46" s="98"/>
      <c r="CT46" s="98"/>
      <c r="CU46" s="98"/>
      <c r="CV46" s="98"/>
      <c r="CW46" s="98"/>
      <c r="CX46" s="98"/>
      <c r="CY46" s="98"/>
      <c r="CZ46" s="98"/>
      <c r="DA46" s="98"/>
      <c r="DB46" s="98"/>
      <c r="DC46" s="98"/>
      <c r="DD46" s="98"/>
      <c r="DE46" s="98"/>
      <c r="DF46" s="98"/>
      <c r="DG46" s="98"/>
      <c r="DH46" s="98"/>
      <c r="DI46" s="98"/>
      <c r="DJ46" s="98"/>
      <c r="DK46" s="98"/>
      <c r="DL46" s="98"/>
      <c r="DM46" s="98"/>
      <c r="DN46" s="98"/>
      <c r="DO46" s="98"/>
      <c r="DP46" s="98"/>
      <c r="DQ46" s="98"/>
      <c r="DR46" s="98"/>
      <c r="DS46" s="98"/>
      <c r="DT46" s="98"/>
      <c r="DU46" s="98"/>
      <c r="DV46" s="98"/>
      <c r="DW46" s="98"/>
      <c r="DX46" s="98"/>
      <c r="DY46" s="98"/>
      <c r="DZ46" s="98"/>
      <c r="EA46" s="98"/>
      <c r="EB46" s="98"/>
      <c r="EC46" s="98"/>
      <c r="ED46" s="98"/>
      <c r="EE46" s="98"/>
      <c r="EF46" s="98"/>
      <c r="EG46" s="98"/>
      <c r="EH46" s="98"/>
      <c r="EI46" s="98"/>
      <c r="EJ46" s="98"/>
      <c r="EK46" s="98"/>
      <c r="EL46" s="98"/>
      <c r="EM46" s="93"/>
      <c r="EN46" s="129"/>
      <c r="EO46" s="330"/>
      <c r="EP46" s="15" t="s">
        <v>257</v>
      </c>
      <c r="EQ46" s="1">
        <v>6</v>
      </c>
      <c r="ER46" s="1">
        <v>3</v>
      </c>
      <c r="ES46" s="1" t="s">
        <v>282</v>
      </c>
      <c r="ET46" s="4" t="str">
        <f>IF(ER46=99,"", CONCATENATE("10.0.",TEXT(((BITWISE_AND('IP Address (no mod)'!$D$20,ES$22)/4)+ER46*8),"0"),".",TEXT((BITWISE_AND('IP Address (no mod)'!$D$21,ES$22)*64)+EO$39*10+EQ46,"0")))</f>
        <v>10.0.24.80</v>
      </c>
      <c r="EU46" s="100">
        <f>IF(ET46="",0,COUNTIF($ET$26:$ET$114,ET46)+COUNTIF($Z$26:$Z$114,ET46)+COUNTIF($AI$26:$AI$114,ET46)+COUNTIF($AR$26:$AR$114,ET46)+COUNTIF($AY$26:$AY$114,ET46)+COUNTIF($BH$26:$BH$114,ET46)+COUNTIF($BQ$26:$BQ$114,ET46)+COUNTIF($BZ$26:$BZ$114,ET46)+COUNTIF($CI$26:$CI$114,ET46)+COUNTIF($CR$26:$CR$114,ET46)+COUNTIF($DA$26:$DA$114,ET46)+COUNTIF($DJ$26:$DJ$114,ET46)+COUNTIF($DS$26:$DS$114,ET46)+COUNTIF($EB$26:$EB$114,ET46)+COUNTIF($EK$26:$EK$114,ET46)+COUNTIF($I$69:$I$100,ET46)-1)</f>
        <v>0</v>
      </c>
      <c r="EV46" s="95"/>
    </row>
    <row r="47" spans="1:152" ht="15" customHeight="1">
      <c r="A47" s="342"/>
      <c r="B47" s="134"/>
      <c r="C47" s="55"/>
      <c r="D47" s="330"/>
      <c r="E47" s="63" t="s">
        <v>245</v>
      </c>
      <c r="F47" s="63">
        <v>2</v>
      </c>
      <c r="G47" s="63">
        <v>2</v>
      </c>
      <c r="H47" s="64" t="s">
        <v>277</v>
      </c>
      <c r="I47" s="222" t="str">
        <f>IF(G47=99,"", CONCATENATE("10.0.",TEXT(((BITWISE_AND('IP Address (no mod)'!$D$20,H$22)/4)+G47*8),"0"),".",TEXT((BITWISE_AND('IP Address (no mod)'!$D$21,H$22)*64)+D$44*10+F47,"0")))</f>
        <v>10.0.16.76</v>
      </c>
      <c r="J47" s="178">
        <f>IF(I47="",0,COUNTIF($ET$26:$ET$114,I47)+COUNTIF($Z$26:$Z$114,I47)+COUNTIF($AI$26:$AI$114,I47)+COUNTIF($AR$26:$AR$114,I47)+COUNTIF($AY$26:$AY$114,I47)+COUNTIF($BH$26:$BH$114,I47)+COUNTIF($BQ$26:$BQ$114,I47)+COUNTIF($BZ$26:$BZ$114,I47)+COUNTIF($CI$26:$CI$114,I47)+COUNTIF($CR$26:$CR$114,I47)+COUNTIF($DA$26:$DA$114,I47)+COUNTIF($DJ$26:$DJ$114,I47)+COUNTIF($DS$26:$DS$114,I47)+COUNTIF($EB$26:$EB$114,I47)+COUNTIF($EK$26:$EK$114,I47)+COUNTIF($I$26:$I$100,I47)+COUNTIF($Q$26:$Q$114,I47)-1)</f>
        <v>1</v>
      </c>
      <c r="K47" s="219"/>
      <c r="L47" s="330"/>
      <c r="M47" s="15" t="s">
        <v>245</v>
      </c>
      <c r="N47" s="1">
        <v>2</v>
      </c>
      <c r="O47" s="65">
        <v>1</v>
      </c>
      <c r="P47" s="64" t="s">
        <v>471</v>
      </c>
      <c r="Q47" s="222" t="str">
        <f>IF(O47=99,"", CONCATENATE("10.0.",TEXT(((BITWISE_AND('IP Address (no mod)'!$D$20,H$22)/4)+O47*8),"0"),".",TEXT((BITWISE_AND('IP Address (no mod)'!$D$21,H$22)*64)+L$26*10+N47,"0")))</f>
        <v>10.0.8.106</v>
      </c>
      <c r="R47" s="178">
        <f>IF(Q47="",0,COUNTIF($ET$26:$ET$114,Q47)+COUNTIF($Z$26:$Z$114,Q47)+COUNTIF($AI$26:$AI$114,Q47)+COUNTIF($AR$26:$AR$114,Q47)+COUNTIF($AY$26:$AY$114,Q47)+COUNTIF($BH$26:$BH$114,Q47)+COUNTIF($BQ$26:$BQ$114,Q47)+COUNTIF($BZ$26:$BZ$114,Q47)+COUNTIF($CI$26:$CI$114,Q47)+COUNTIF($CR$26:$CR$114,Q47)+COUNTIF($DA$26:$DA$114,Q47)+COUNTIF($DJ$26:$DJ$114,Q47)+COUNTIF($DS$26:$DS$114,Q47)+COUNTIF($EB$26:$EB$114,Q47)+COUNTIF($EK$26:$EK$114,Q47)+COUNTIF($I$26:$I$100,Q47)+COUNTIF($Q$26:$Q$114,Q47)-1)</f>
        <v>1</v>
      </c>
      <c r="S47" s="95"/>
      <c r="T47" s="219"/>
      <c r="U47" s="330"/>
      <c r="V47" s="63" t="s">
        <v>259</v>
      </c>
      <c r="W47" s="63">
        <v>7</v>
      </c>
      <c r="X47" s="63">
        <v>3</v>
      </c>
      <c r="Y47" s="64" t="s">
        <v>284</v>
      </c>
      <c r="Z47" s="3" t="str">
        <f>IF(X47=99,"", CONCATENATE("10.0.",TEXT(((BITWISE_AND('IP Address (no mod)'!$D$20,Y$22)/4)+X47*8),"0"),".",TEXT((BITWISE_AND('IP Address (no mod)'!$D$21,Y$22)*64)+U$39*10+W47,"0")))</f>
        <v>10.0.24.145</v>
      </c>
      <c r="AA47" s="100">
        <f>IF(Z47="",0,COUNTIF($ET$26:$ET$114,Z47)+COUNTIF($Z$26:$Z$114,Z47)+COUNTIF($AI$26:$AI$114,Z47)+COUNTIF($AR$26:$AR$114,Z47)+COUNTIF($AY$26:$AY$114,Z47)+COUNTIF($BH$26:$BH$114,Z47)+COUNTIF($BQ$26:$BQ$114,Z47)+COUNTIF($BZ$26:$BZ$114,Z47)+COUNTIF($CI$26:$CI$114,Z47)+COUNTIF($CR$26:$CR$114,Z47)+COUNTIF($DA$26:$DA$114,Z47)+COUNTIF($DJ$26:$DJ$114,Z47)+COUNTIF($DS$26:$DS$114,Z47)+COUNTIF($EB$26:$EB$114,Z47)+COUNTIF($EK$26:$EK$114,Z47)+COUNTIF($I$69:$I$100,Z47)-1)</f>
        <v>0</v>
      </c>
      <c r="AB47" s="98"/>
      <c r="AC47" s="98"/>
      <c r="AD47" s="98"/>
      <c r="AE47" s="98"/>
      <c r="AF47" s="98"/>
      <c r="AG47" s="98"/>
      <c r="AH47" s="98"/>
      <c r="AI47" s="98"/>
      <c r="AJ47" s="98"/>
      <c r="AK47" s="98"/>
      <c r="AL47" s="55"/>
      <c r="AM47" s="330"/>
      <c r="AN47" s="63" t="s">
        <v>259</v>
      </c>
      <c r="AO47" s="63">
        <v>7</v>
      </c>
      <c r="AP47" s="63">
        <v>3</v>
      </c>
      <c r="AQ47" s="64" t="s">
        <v>285</v>
      </c>
      <c r="AR47" s="3" t="str">
        <f>IF(AP47=99,"", CONCATENATE("10.0.",TEXT(((BITWISE_AND('IP Address (no mod)'!$D$20,AQ$22)/4)+AP47*8),"0"),".",TEXT((BITWISE_AND('IP Address (no mod)'!$D$21,AQ$22)*64)+AM$39*10+AO47,"0")))</f>
        <v>10.0.25.17</v>
      </c>
      <c r="AS47" s="100">
        <f>IF(AR47="",0,COUNTIF($ET$26:$ET$114,AR47)+COUNTIF($Z$26:$Z$114,AR47)+COUNTIF($AI$26:$AI$114,AR47)+COUNTIF($AR$26:$AR$114,AR47)+COUNTIF($AY$26:$AY$114,AR47)+COUNTIF($BH$26:$BH$114,AR47)+COUNTIF($BQ$26:$BQ$114,AR47)+COUNTIF($BZ$26:$BZ$114,AR47)+COUNTIF($CI$26:$CI$114,AR47)+COUNTIF($CR$26:$CR$114,AR47)+COUNTIF($DA$26:$DA$114,AR47)+COUNTIF($DJ$26:$DJ$114,AR47)+COUNTIF($DS$26:$DS$114,AR47)+COUNTIF($EB$26:$EB$114,AR47)+COUNTIF($EK$26:$EK$114,AR47)+COUNTIF($I$69:$I$100,AR47)-1)</f>
        <v>0</v>
      </c>
      <c r="AT47" s="66"/>
      <c r="AU47" s="66"/>
      <c r="AV47" s="66"/>
      <c r="AW47" s="66"/>
      <c r="AX47" s="66"/>
      <c r="AY47" s="66"/>
      <c r="AZ47" s="59"/>
      <c r="BA47" s="98"/>
      <c r="BB47" s="55"/>
      <c r="BC47" s="330"/>
      <c r="BD47" s="63" t="s">
        <v>259</v>
      </c>
      <c r="BE47" s="63">
        <v>7</v>
      </c>
      <c r="BF47" s="63">
        <v>99</v>
      </c>
      <c r="BG47" s="1"/>
      <c r="BH47" s="3" t="str">
        <f>IF(BF47=99,"", CONCATENATE("10.0.",TEXT(((BITWISE_AND('IP Address (no mod)'!$D$20,BG$22)/4)+BF47*8),"0"),".",TEXT((BITWISE_AND('IP Address (no mod)'!$D$21,BG$22)*64)+BC$39*10+BE47,"0")))</f>
        <v/>
      </c>
      <c r="BI47" s="100">
        <f>IF(BH47="",0,COUNTIF($ET$26:$ET$114,BH47)+COUNTIF($Z$26:$Z$114,BH47)+COUNTIF($AI$26:$AI$114,BH47)+COUNTIF($AR$26:$AR$114,BH47)+COUNTIF($AY$26:$AY$114,BH47)+COUNTIF($BH$26:$BH$114,BH47)+COUNTIF($BQ$26:$BQ$114,BH47)+COUNTIF($BZ$26:$BZ$114,BH47)+COUNTIF($CI$26:$CI$114,BH47)+COUNTIF($CR$26:$CR$114,BH47)+COUNTIF($DA$26:$DA$114,BH47)+COUNTIF($DJ$26:$DJ$114,BH47)+COUNTIF($DS$26:$DS$114,BH47)+COUNTIF($EB$26:$EB$114,BH47)+COUNTIF($EK$26:$EK$114,BH47)+COUNTIF($I$69:$I$100,BH47)-1)</f>
        <v>0</v>
      </c>
      <c r="BJ47" s="98"/>
      <c r="BK47" s="55"/>
      <c r="BL47" s="330"/>
      <c r="BM47" s="63" t="s">
        <v>259</v>
      </c>
      <c r="BN47" s="63">
        <v>7</v>
      </c>
      <c r="BO47" s="63">
        <v>3</v>
      </c>
      <c r="BP47" s="64" t="s">
        <v>284</v>
      </c>
      <c r="BQ47" s="3" t="str">
        <f>IF(BO47=99,"", CONCATENATE("10.0.",TEXT(((BITWISE_AND('IP Address (no mod)'!$D$20,BP$22)/4)+BO47*8),"0"),".",TEXT((BITWISE_AND('IP Address (no mod)'!$D$21,BP$22)*64)+BL$39*10+BN47,"0")))</f>
        <v>10.0.25.145</v>
      </c>
      <c r="BR47" s="100">
        <f>IF(BQ47="",0,COUNTIF($ET$26:$ET$114,BQ47)+COUNTIF($Z$26:$Z$114,BQ47)+COUNTIF($AI$26:$AI$114,BQ47)+COUNTIF($AR$26:$AR$114,BQ47)+COUNTIF($AY$26:$AY$114,BQ47)+COUNTIF($BH$26:$BH$114,BQ47)+COUNTIF($BQ$26:$BQ$114,BQ47)+COUNTIF($BZ$26:$BZ$114,BQ47)+COUNTIF($CI$26:$CI$114,BQ47)+COUNTIF($CR$26:$CR$114,BQ47)+COUNTIF($DA$26:$DA$114,BQ47)+COUNTIF($DJ$26:$DJ$114,BQ47)+COUNTIF($DS$26:$DS$114,BQ47)+COUNTIF($EB$26:$EB$114,BQ47)+COUNTIF($EK$26:$EK$114,BQ47)+COUNTIF($I$69:$I$100,BQ47)-1)</f>
        <v>0</v>
      </c>
      <c r="BS47" s="98"/>
      <c r="BT47" s="98"/>
      <c r="BU47" s="98"/>
      <c r="BV47" s="98"/>
      <c r="BW47" s="98"/>
      <c r="BX47" s="98"/>
      <c r="BY47" s="98"/>
      <c r="BZ47" s="98"/>
      <c r="CA47" s="98"/>
      <c r="CB47" s="98"/>
      <c r="CC47" s="98"/>
      <c r="CD47" s="98"/>
      <c r="CE47" s="98"/>
      <c r="CF47" s="98"/>
      <c r="CG47" s="98"/>
      <c r="CH47" s="98"/>
      <c r="CI47" s="98"/>
      <c r="CJ47" s="98"/>
      <c r="CK47" s="98"/>
      <c r="CL47" s="98"/>
      <c r="CM47" s="98"/>
      <c r="CN47" s="98"/>
      <c r="CO47" s="98"/>
      <c r="CP47" s="98"/>
      <c r="CQ47" s="98"/>
      <c r="CR47" s="98"/>
      <c r="CS47" s="98"/>
      <c r="CT47" s="98"/>
      <c r="CU47" s="98"/>
      <c r="CV47" s="98"/>
      <c r="CW47" s="98"/>
      <c r="CX47" s="98"/>
      <c r="CY47" s="98"/>
      <c r="CZ47" s="98"/>
      <c r="DA47" s="98"/>
      <c r="DB47" s="98"/>
      <c r="DC47" s="98"/>
      <c r="DD47" s="98"/>
      <c r="DE47" s="98"/>
      <c r="DF47" s="98"/>
      <c r="DG47" s="98"/>
      <c r="DH47" s="98"/>
      <c r="DI47" s="98"/>
      <c r="DJ47" s="98"/>
      <c r="DK47" s="98"/>
      <c r="DL47" s="98"/>
      <c r="DM47" s="98"/>
      <c r="DN47" s="98"/>
      <c r="DO47" s="98"/>
      <c r="DP47" s="98"/>
      <c r="DQ47" s="98"/>
      <c r="DR47" s="98"/>
      <c r="DS47" s="98"/>
      <c r="DT47" s="98"/>
      <c r="DU47" s="98"/>
      <c r="DV47" s="98"/>
      <c r="DW47" s="98"/>
      <c r="DX47" s="98"/>
      <c r="DY47" s="98"/>
      <c r="DZ47" s="98"/>
      <c r="EA47" s="98"/>
      <c r="EB47" s="98"/>
      <c r="EC47" s="98"/>
      <c r="ED47" s="98"/>
      <c r="EE47" s="98"/>
      <c r="EF47" s="98"/>
      <c r="EG47" s="98"/>
      <c r="EH47" s="98"/>
      <c r="EI47" s="98"/>
      <c r="EJ47" s="98"/>
      <c r="EK47" s="98"/>
      <c r="EL47" s="98"/>
      <c r="EM47" s="93"/>
      <c r="EN47" s="129"/>
      <c r="EO47" s="330"/>
      <c r="EP47" s="15" t="s">
        <v>259</v>
      </c>
      <c r="EQ47" s="1">
        <v>7</v>
      </c>
      <c r="ER47" s="1">
        <v>3</v>
      </c>
      <c r="ES47" s="1" t="s">
        <v>283</v>
      </c>
      <c r="ET47" s="4" t="str">
        <f>IF(ER47=99,"", CONCATENATE("10.0.",TEXT(((BITWISE_AND('IP Address (no mod)'!$D$20,ES$22)/4)+ER47*8),"0"),".",TEXT((BITWISE_AND('IP Address (no mod)'!$D$21,ES$22)*64)+EO$39*10+EQ47,"0")))</f>
        <v>10.0.24.81</v>
      </c>
      <c r="EU47" s="100">
        <f>IF(ET47="",0,COUNTIF($ET$26:$ET$114,ET47)+COUNTIF($Z$26:$Z$114,ET47)+COUNTIF($AI$26:$AI$114,ET47)+COUNTIF($AR$26:$AR$114,ET47)+COUNTIF($AY$26:$AY$114,ET47)+COUNTIF($BH$26:$BH$114,ET47)+COUNTIF($BQ$26:$BQ$114,ET47)+COUNTIF($BZ$26:$BZ$114,ET47)+COUNTIF($CI$26:$CI$114,ET47)+COUNTIF($CR$26:$CR$114,ET47)+COUNTIF($DA$26:$DA$114,ET47)+COUNTIF($DJ$26:$DJ$114,ET47)+COUNTIF($DS$26:$DS$114,ET47)+COUNTIF($EB$26:$EB$114,ET47)+COUNTIF($EK$26:$EK$114,ET47)+COUNTIF($I$69:$I$100,ET47)-1)</f>
        <v>0</v>
      </c>
      <c r="EV47" s="95"/>
    </row>
    <row r="48" spans="1:152">
      <c r="A48" s="342"/>
      <c r="B48" s="98"/>
      <c r="C48" s="55"/>
      <c r="D48" s="330"/>
      <c r="E48" s="63" t="s">
        <v>248</v>
      </c>
      <c r="F48" s="63">
        <v>3</v>
      </c>
      <c r="G48" s="63">
        <v>2</v>
      </c>
      <c r="H48" s="64" t="s">
        <v>278</v>
      </c>
      <c r="I48" s="222" t="str">
        <f>IF(G48=99,"", CONCATENATE("10.0.",TEXT(((BITWISE_AND('IP Address (no mod)'!$D$20,H$22)/4)+G48*8),"0"),".",TEXT((BITWISE_AND('IP Address (no mod)'!$D$21,H$22)*64)+D$44*10+F48,"0")))</f>
        <v>10.0.16.77</v>
      </c>
      <c r="J48" s="178">
        <f>IF(I48="",0,COUNTIF($ET$26:$ET$114,I48)+COUNTIF($Z$26:$Z$114,I48)+COUNTIF($AI$26:$AI$114,I48)+COUNTIF($AR$26:$AR$114,I48)+COUNTIF($AY$26:$AY$114,I48)+COUNTIF($BH$26:$BH$114,I48)+COUNTIF($BQ$26:$BQ$114,I48)+COUNTIF($BZ$26:$BZ$114,I48)+COUNTIF($CI$26:$CI$114,I48)+COUNTIF($CR$26:$CR$114,I48)+COUNTIF($DA$26:$DA$114,I48)+COUNTIF($DJ$26:$DJ$114,I48)+COUNTIF($DS$26:$DS$114,I48)+COUNTIF($EB$26:$EB$114,I48)+COUNTIF($EK$26:$EK$114,I48)+COUNTIF($I$26:$I$100,I48)+COUNTIF($Q$26:$Q$114,I48)-1)</f>
        <v>1</v>
      </c>
      <c r="K48" s="219"/>
      <c r="L48" s="330"/>
      <c r="M48" s="15" t="s">
        <v>248</v>
      </c>
      <c r="N48" s="1">
        <v>3</v>
      </c>
      <c r="O48" s="65">
        <v>2</v>
      </c>
      <c r="P48" s="64" t="s">
        <v>472</v>
      </c>
      <c r="Q48" s="222" t="str">
        <f>IF(O48=99,"", CONCATENATE("10.0.",TEXT(((BITWISE_AND('IP Address (no mod)'!$D$20,H$22)/4)+O48*8),"0"),".",TEXT((BITWISE_AND('IP Address (no mod)'!$D$21,H$22)*64)+L$44*10+N48,"0")))</f>
        <v>10.0.16.117</v>
      </c>
      <c r="R48" s="178">
        <f>IF(Q48="",0,COUNTIF($ET$26:$ET$114,Q48)+COUNTIF($Z$26:$Z$114,Q48)+COUNTIF($AI$26:$AI$114,Q48)+COUNTIF($AR$26:$AR$114,Q48)+COUNTIF($AY$26:$AY$114,Q48)+COUNTIF($BH$26:$BH$114,Q48)+COUNTIF($BQ$26:$BQ$114,Q48)+COUNTIF($BZ$26:$BZ$114,Q48)+COUNTIF($CI$26:$CI$114,Q48)+COUNTIF($CR$26:$CR$114,Q48)+COUNTIF($DA$26:$DA$114,Q48)+COUNTIF($DJ$26:$DJ$114,Q48)+COUNTIF($DS$26:$DS$114,Q48)+COUNTIF($EB$26:$EB$114,Q48)+COUNTIF($EK$26:$EK$114,Q48)+COUNTIF($I$26:$I$100,Q48)+COUNTIF($Q$26:$Q$114,Q48)-1)</f>
        <v>0</v>
      </c>
      <c r="S48" s="95"/>
      <c r="T48" s="219"/>
      <c r="U48" s="330"/>
      <c r="V48" s="8" t="s">
        <v>263</v>
      </c>
      <c r="W48" s="8">
        <v>8</v>
      </c>
      <c r="X48" s="8">
        <v>99</v>
      </c>
      <c r="Y48" s="2"/>
      <c r="Z48" s="5" t="str">
        <f>IF(X48=99,"", CONCATENATE("10.0.",TEXT(((BITWISE_AND('IP Address (no mod)'!$D$20,Y$22)/4)+X48*8),"0"),".",TEXT((BITWISE_AND('IP Address (no mod)'!$D$21,Y$22)*64)+U$39*10+W48,"0")))</f>
        <v/>
      </c>
      <c r="AA48" s="100">
        <f>IF(Z48="",0,COUNTIF($ET$26:$ET$114,Z48)+COUNTIF($Z$26:$Z$114,Z48)+COUNTIF($AI$26:$AI$114,Z48)+COUNTIF($AR$26:$AR$114,Z48)+COUNTIF($AY$26:$AY$114,Z48)+COUNTIF($BH$26:$BH$114,Z48)+COUNTIF($BQ$26:$BQ$114,Z48)+COUNTIF($BZ$26:$BZ$114,Z48)+COUNTIF($CI$26:$CI$114,Z48)+COUNTIF($CR$26:$CR$114,Z48)+COUNTIF($DA$26:$DA$114,Z48)+COUNTIF($DJ$26:$DJ$114,Z48)+COUNTIF($DS$26:$DS$114,Z48)+COUNTIF($EB$26:$EB$114,Z48)+COUNTIF($EK$26:$EK$114,Z48)+COUNTIF($I$69:$I$100,Z48)-1)</f>
        <v>0</v>
      </c>
      <c r="AB48" s="98"/>
      <c r="AC48" s="98"/>
      <c r="AD48" s="98"/>
      <c r="AE48" s="98"/>
      <c r="AF48" s="98"/>
      <c r="AG48" s="98"/>
      <c r="AH48" s="98"/>
      <c r="AI48" s="98"/>
      <c r="AJ48" s="98"/>
      <c r="AK48" s="98"/>
      <c r="AL48" s="55"/>
      <c r="AM48" s="330"/>
      <c r="AN48" s="8" t="s">
        <v>263</v>
      </c>
      <c r="AO48" s="8">
        <v>8</v>
      </c>
      <c r="AP48" s="8"/>
      <c r="AQ48" s="2" t="s">
        <v>287</v>
      </c>
      <c r="AR48" s="5"/>
      <c r="AS48" s="100">
        <f>IF(AR48="",0,COUNTIF($ET$26:$ET$114,AR48)+COUNTIF($Z$26:$Z$114,AR48)+COUNTIF($AI$26:$AI$114,AR48)+COUNTIF($AR$26:$AR$114,AR48)+COUNTIF($AY$26:$AY$114,AR48)+COUNTIF($BH$26:$BH$114,AR48)+COUNTIF($BQ$26:$BQ$114,AR48)+COUNTIF($BZ$26:$BZ$114,AR48)+COUNTIF($CI$26:$CI$114,AR48)+COUNTIF($CR$26:$CR$114,AR48)+COUNTIF($DA$26:$DA$114,AR48)+COUNTIF($DJ$26:$DJ$114,AR48)+COUNTIF($DS$26:$DS$114,AR48)+COUNTIF($EB$26:$EB$114,AR48)+COUNTIF($EK$26:$EK$114,AR48)+COUNTIF($I$69:$I$100,AR48)-1)</f>
        <v>0</v>
      </c>
      <c r="AT48" s="66"/>
      <c r="AU48" s="1"/>
      <c r="AV48" s="1"/>
      <c r="AW48" s="1"/>
      <c r="AX48" s="1"/>
      <c r="AY48" s="1"/>
      <c r="AZ48" s="59"/>
      <c r="BA48" s="98"/>
      <c r="BB48" s="55"/>
      <c r="BC48" s="330"/>
      <c r="BD48" s="8" t="s">
        <v>263</v>
      </c>
      <c r="BE48" s="8">
        <v>8</v>
      </c>
      <c r="BF48" s="8">
        <v>99</v>
      </c>
      <c r="BG48" s="2"/>
      <c r="BH48" s="5" t="str">
        <f>IF(BF48=99,"", CONCATENATE("10.0.",TEXT(((BITWISE_AND('IP Address (no mod)'!$D$20,BG$22)/4)+BF48*8),"0"),".",TEXT((BITWISE_AND('IP Address (no mod)'!$D$21,BG$22)*64)+BC$39*10+BE48,"0")))</f>
        <v/>
      </c>
      <c r="BI48" s="100">
        <f>IF(BH48="",0,COUNTIF($ET$26:$ET$114,BH48)+COUNTIF($Z$26:$Z$114,BH48)+COUNTIF($AI$26:$AI$114,BH48)+COUNTIF($AR$26:$AR$114,BH48)+COUNTIF($AY$26:$AY$114,BH48)+COUNTIF($BH$26:$BH$114,BH48)+COUNTIF($BQ$26:$BQ$114,BH48)+COUNTIF($BZ$26:$BZ$114,BH48)+COUNTIF($CI$26:$CI$114,BH48)+COUNTIF($CR$26:$CR$114,BH48)+COUNTIF($DA$26:$DA$114,BH48)+COUNTIF($DJ$26:$DJ$114,BH48)+COUNTIF($DS$26:$DS$114,BH48)+COUNTIF($EB$26:$EB$114,BH48)+COUNTIF($EK$26:$EK$114,BH48)+COUNTIF($I$69:$I$100,BH48)-1)</f>
        <v>0</v>
      </c>
      <c r="BJ48" s="98"/>
      <c r="BK48" s="55"/>
      <c r="BL48" s="330"/>
      <c r="BM48" s="8" t="s">
        <v>263</v>
      </c>
      <c r="BN48" s="8">
        <v>8</v>
      </c>
      <c r="BO48" s="8">
        <v>99</v>
      </c>
      <c r="BP48" s="2"/>
      <c r="BQ48" s="5" t="str">
        <f>IF(BO48=99,"", CONCATENATE("10.0.",TEXT(((BITWISE_AND('IP Address (no mod)'!$D$20,BP$22)/4)+BO48*8),"0"),".",TEXT((BITWISE_AND('IP Address (no mod)'!$D$21,BP$22)*64)+BL$39*10+BN48,"0")))</f>
        <v/>
      </c>
      <c r="BR48" s="100">
        <f>IF(BQ48="",0,COUNTIF($ET$26:$ET$114,BQ48)+COUNTIF($Z$26:$Z$114,BQ48)+COUNTIF($AI$26:$AI$114,BQ48)+COUNTIF($AR$26:$AR$114,BQ48)+COUNTIF($AY$26:$AY$114,BQ48)+COUNTIF($BH$26:$BH$114,BQ48)+COUNTIF($BQ$26:$BQ$114,BQ48)+COUNTIF($BZ$26:$BZ$114,BQ48)+COUNTIF($CI$26:$CI$114,BQ48)+COUNTIF($CR$26:$CR$114,BQ48)+COUNTIF($DA$26:$DA$114,BQ48)+COUNTIF($DJ$26:$DJ$114,BQ48)+COUNTIF($DS$26:$DS$114,BQ48)+COUNTIF($EB$26:$EB$114,BQ48)+COUNTIF($EK$26:$EK$114,BQ48)+COUNTIF($I$69:$I$100,BQ48)-1)</f>
        <v>0</v>
      </c>
      <c r="BS48" s="98"/>
      <c r="BT48" s="98"/>
      <c r="BU48" s="98"/>
      <c r="BV48" s="98"/>
      <c r="BW48" s="98"/>
      <c r="BX48" s="98"/>
      <c r="BY48" s="98"/>
      <c r="BZ48" s="98"/>
      <c r="CA48" s="98"/>
      <c r="CB48" s="98"/>
      <c r="CC48" s="98"/>
      <c r="CD48" s="98"/>
      <c r="CE48" s="98"/>
      <c r="CF48" s="98"/>
      <c r="CG48" s="98"/>
      <c r="CH48" s="98"/>
      <c r="CI48" s="98"/>
      <c r="CJ48" s="98"/>
      <c r="CK48" s="98"/>
      <c r="CL48" s="98"/>
      <c r="CM48" s="98"/>
      <c r="CN48" s="98"/>
      <c r="CO48" s="98"/>
      <c r="CP48" s="98"/>
      <c r="CQ48" s="98"/>
      <c r="CR48" s="98"/>
      <c r="CS48" s="98"/>
      <c r="CT48" s="98"/>
      <c r="CU48" s="98"/>
      <c r="CV48" s="98"/>
      <c r="CW48" s="98"/>
      <c r="CX48" s="98"/>
      <c r="CY48" s="98"/>
      <c r="CZ48" s="98"/>
      <c r="DA48" s="98"/>
      <c r="DB48" s="98"/>
      <c r="DC48" s="98"/>
      <c r="DD48" s="98"/>
      <c r="DE48" s="98"/>
      <c r="DF48" s="98"/>
      <c r="DG48" s="98"/>
      <c r="DH48" s="98"/>
      <c r="DI48" s="98"/>
      <c r="DJ48" s="98"/>
      <c r="DK48" s="98"/>
      <c r="DL48" s="98"/>
      <c r="DM48" s="98"/>
      <c r="DN48" s="98"/>
      <c r="DO48" s="98"/>
      <c r="DP48" s="98"/>
      <c r="DQ48" s="98"/>
      <c r="DR48" s="98"/>
      <c r="DS48" s="98"/>
      <c r="DT48" s="98"/>
      <c r="DU48" s="98"/>
      <c r="DV48" s="98"/>
      <c r="DW48" s="98"/>
      <c r="DX48" s="98"/>
      <c r="DY48" s="98"/>
      <c r="DZ48" s="98"/>
      <c r="EA48" s="98"/>
      <c r="EB48" s="98"/>
      <c r="EC48" s="98"/>
      <c r="ED48" s="98"/>
      <c r="EE48" s="98"/>
      <c r="EF48" s="98"/>
      <c r="EG48" s="98"/>
      <c r="EH48" s="98"/>
      <c r="EI48" s="98"/>
      <c r="EJ48" s="98"/>
      <c r="EK48" s="98"/>
      <c r="EL48" s="98"/>
      <c r="EM48" s="93"/>
      <c r="EN48" s="129"/>
      <c r="EO48" s="330"/>
      <c r="EP48" s="8" t="s">
        <v>263</v>
      </c>
      <c r="EQ48" s="8">
        <v>8</v>
      </c>
      <c r="ER48" s="8">
        <v>4</v>
      </c>
      <c r="ES48" s="2" t="s">
        <v>286</v>
      </c>
      <c r="ET48" s="5" t="str">
        <f>IF(ER48=99,"", CONCATENATE("10.0.",TEXT(((BITWISE_AND('IP Address (no mod)'!$D$20,ES$22)/4)+ER48*8),"0"),".",TEXT((BITWISE_AND('IP Address (no mod)'!$D$21,ES$22)*64)+EO$39*10+EQ48,"0")))</f>
        <v>10.0.32.82</v>
      </c>
      <c r="EU48" s="100">
        <f>IF(ET48="",0,COUNTIF($ET$26:$ET$114,ET48)+COUNTIF($Z$26:$Z$114,ET48)+COUNTIF($AI$26:$AI$114,ET48)+COUNTIF($AR$26:$AR$114,ET48)+COUNTIF($AY$26:$AY$114,ET48)+COUNTIF($BH$26:$BH$114,ET48)+COUNTIF($BQ$26:$BQ$114,ET48)+COUNTIF($BZ$26:$BZ$114,ET48)+COUNTIF($CI$26:$CI$114,ET48)+COUNTIF($CR$26:$CR$114,ET48)+COUNTIF($DA$26:$DA$114,ET48)+COUNTIF($DJ$26:$DJ$114,ET48)+COUNTIF($DS$26:$DS$114,ET48)+COUNTIF($EB$26:$EB$114,ET48)+COUNTIF($EK$26:$EK$114,ET48)+COUNTIF($I$69:$I$100,ET48)-1)</f>
        <v>0</v>
      </c>
      <c r="EV48" s="95"/>
    </row>
    <row r="49" spans="1:152" ht="15.75" thickBot="1">
      <c r="A49" s="342"/>
      <c r="B49" s="98"/>
      <c r="C49" s="55"/>
      <c r="D49" s="330"/>
      <c r="E49" s="63" t="s">
        <v>251</v>
      </c>
      <c r="F49" s="63">
        <v>4</v>
      </c>
      <c r="G49" s="63">
        <v>4</v>
      </c>
      <c r="H49" s="119" t="s">
        <v>279</v>
      </c>
      <c r="I49" s="222"/>
      <c r="J49" s="178">
        <f>IF(I49="",0,COUNTIF($ET$26:$ET$114,I49)+COUNTIF($Z$26:$Z$114,I49)+COUNTIF($AI$26:$AI$114,I49)+COUNTIF($AR$26:$AR$114,I49)+COUNTIF($AY$26:$AY$114,I49)+COUNTIF($BH$26:$BH$114,I49)+COUNTIF($BQ$26:$BQ$114,I49)+COUNTIF($BZ$26:$BZ$114,I49)+COUNTIF($CI$26:$CI$114,I49)+COUNTIF($CR$26:$CR$114,I49)+COUNTIF($DA$26:$DA$114,I49)+COUNTIF($DJ$26:$DJ$114,I49)+COUNTIF($DS$26:$DS$114,I49)+COUNTIF($EB$26:$EB$114,I49)+COUNTIF($EK$26:$EK$114,I49)+COUNTIF($I$26:$I$100,I49)+COUNTIF($Q$26:$Q$114,I49)-1)</f>
        <v>0</v>
      </c>
      <c r="K49" s="219"/>
      <c r="L49" s="330"/>
      <c r="M49" s="15" t="s">
        <v>251</v>
      </c>
      <c r="N49" s="1">
        <v>4</v>
      </c>
      <c r="O49" s="65">
        <v>1</v>
      </c>
      <c r="P49" s="64" t="s">
        <v>473</v>
      </c>
      <c r="Q49" s="222" t="str">
        <f>IF(O49=99,"", CONCATENATE("10.0.",TEXT(((BITWISE_AND('IP Address (no mod)'!$D$20,H$22)/4)+O49*8),"0"),".",TEXT((BITWISE_AND('IP Address (no mod)'!$D$21,H$22)*64)+L$44*10+N49,"0")))</f>
        <v>10.0.8.118</v>
      </c>
      <c r="R49" s="178">
        <f>IF(Q49="",0,COUNTIF($ET$26:$ET$114,Q49)+COUNTIF($Z$26:$Z$114,Q49)+COUNTIF($AI$26:$AI$114,Q49)+COUNTIF($AR$26:$AR$114,Q49)+COUNTIF($AY$26:$AY$114,Q49)+COUNTIF($BH$26:$BH$114,Q49)+COUNTIF($BQ$26:$BQ$114,Q49)+COUNTIF($BZ$26:$BZ$114,Q49)+COUNTIF($CI$26:$CI$114,Q49)+COUNTIF($CR$26:$CR$114,Q49)+COUNTIF($DA$26:$DA$114,Q49)+COUNTIF($DJ$26:$DJ$114,Q49)+COUNTIF($DS$26:$DS$114,Q49)+COUNTIF($EB$26:$EB$114,Q49)+COUNTIF($EK$26:$EK$114,Q49)+COUNTIF($I$26:$I$100,Q49)+COUNTIF($Q$26:$Q$114,Q49)-1)</f>
        <v>0</v>
      </c>
      <c r="S49" s="95"/>
      <c r="T49" s="219"/>
      <c r="U49" s="331"/>
      <c r="V49" s="9" t="s">
        <v>266</v>
      </c>
      <c r="W49" s="9">
        <v>9</v>
      </c>
      <c r="X49" s="9">
        <v>99</v>
      </c>
      <c r="Y49" s="68"/>
      <c r="Z49" s="7" t="str">
        <f>IF(X49=99,"", CONCATENATE("10.0.",TEXT(((BITWISE_AND('IP Address (no mod)'!$D$20,Y$22)/4)+X49*8),"0"),".",TEXT((BITWISE_AND('IP Address (no mod)'!$D$21,Y$22)*64)+U$39*10+W49,"0")))</f>
        <v/>
      </c>
      <c r="AA49" s="166">
        <f>IF(Z49="",0,COUNTIF($ET$26:$ET$114,Z49)+COUNTIF($Z$26:$Z$114,Z49)+COUNTIF($AI$26:$AI$114,Z49)+COUNTIF($AR$26:$AR$114,Z49)+COUNTIF($AY$26:$AY$114,Z49)+COUNTIF($BH$26:$BH$114,Z49)+COUNTIF($BQ$26:$BQ$114,Z49)+COUNTIF($BZ$26:$BZ$114,Z49)+COUNTIF($CI$26:$CI$114,Z49)+COUNTIF($CR$26:$CR$114,Z49)+COUNTIF($DA$26:$DA$114,Z49)+COUNTIF($DJ$26:$DJ$114,Z49)+COUNTIF($DS$26:$DS$114,Z49)+COUNTIF($EB$26:$EB$114,Z49)+COUNTIF($EK$26:$EK$114,Z49)+COUNTIF($I$69:$I$100,Z49)-1)</f>
        <v>0</v>
      </c>
      <c r="AB49" s="98"/>
      <c r="AC49" s="98"/>
      <c r="AD49" s="98"/>
      <c r="AE49" s="98"/>
      <c r="AF49" s="98"/>
      <c r="AG49" s="98"/>
      <c r="AH49" s="98"/>
      <c r="AI49" s="98"/>
      <c r="AJ49" s="98"/>
      <c r="AK49" s="98"/>
      <c r="AL49" s="69"/>
      <c r="AM49" s="331"/>
      <c r="AN49" s="9" t="s">
        <v>266</v>
      </c>
      <c r="AO49" s="9">
        <v>9</v>
      </c>
      <c r="AP49" s="9">
        <v>99</v>
      </c>
      <c r="AQ49" s="50"/>
      <c r="AR49" s="7" t="str">
        <f>IF(AP49=99,"", CONCATENATE("10.0.",TEXT(((BITWISE_AND('IP Address (no mod)'!$D$20,AQ$22)/4)+AP49*8),"0"),".",TEXT((BITWISE_AND('IP Address (no mod)'!$D$21,AQ$22)*64)+AM$39*10+AO49,"0")))</f>
        <v/>
      </c>
      <c r="AS49" s="100">
        <f>IF(AR49="",0,COUNTIF($ET$26:$ET$114,AR49)+COUNTIF($Z$26:$Z$114,AR49)+COUNTIF($AI$26:$AI$114,AR49)+COUNTIF($AR$26:$AR$114,AR49)+COUNTIF($AY$26:$AY$114,AR49)+COUNTIF($BH$26:$BH$114,AR49)+COUNTIF($BQ$26:$BQ$114,AR49)+COUNTIF($BZ$26:$BZ$114,AR49)+COUNTIF($CI$26:$CI$114,AR49)+COUNTIF($CR$26:$CR$114,AR49)+COUNTIF($DA$26:$DA$114,AR49)+COUNTIF($DJ$26:$DJ$114,AR49)+COUNTIF($DS$26:$DS$114,AR49)+COUNTIF($EB$26:$EB$114,AR49)+COUNTIF($EK$26:$EK$114,AR49)+COUNTIF($I$69:$I$100,AR49)-1)</f>
        <v>0</v>
      </c>
      <c r="AT49" s="66"/>
      <c r="AU49" s="1"/>
      <c r="AV49" s="1"/>
      <c r="AW49" s="1"/>
      <c r="AX49" s="1"/>
      <c r="AY49" s="1"/>
      <c r="AZ49" s="71"/>
      <c r="BA49" s="98"/>
      <c r="BB49" s="55"/>
      <c r="BC49" s="331"/>
      <c r="BD49" s="9" t="s">
        <v>266</v>
      </c>
      <c r="BE49" s="9">
        <v>9</v>
      </c>
      <c r="BF49" s="9">
        <v>99</v>
      </c>
      <c r="BG49" s="50"/>
      <c r="BH49" s="7" t="str">
        <f>IF(BF49=99,"", CONCATENATE("10.0.",TEXT(((BITWISE_AND('IP Address (no mod)'!$D$20,BG$22)/4)+BF49*8),"0"),".",TEXT((BITWISE_AND('IP Address (no mod)'!$D$21,BG$22)*64)+BC$39*10+BE49,"0")))</f>
        <v/>
      </c>
      <c r="BI49" s="100">
        <f>IF(BH49="",0,COUNTIF($ET$26:$ET$114,BH49)+COUNTIF($Z$26:$Z$114,BH49)+COUNTIF($AI$26:$AI$114,BH49)+COUNTIF($AR$26:$AR$114,BH49)+COUNTIF($AY$26:$AY$114,BH49)+COUNTIF($BH$26:$BH$114,BH49)+COUNTIF($BQ$26:$BQ$114,BH49)+COUNTIF($BZ$26:$BZ$114,BH49)+COUNTIF($CI$26:$CI$114,BH49)+COUNTIF($CR$26:$CR$114,BH49)+COUNTIF($DA$26:$DA$114,BH49)+COUNTIF($DJ$26:$DJ$114,BH49)+COUNTIF($DS$26:$DS$114,BH49)+COUNTIF($EB$26:$EB$114,BH49)+COUNTIF($EK$26:$EK$114,BH49)+COUNTIF($I$69:$I$100,BH49)-1)</f>
        <v>0</v>
      </c>
      <c r="BJ49" s="98"/>
      <c r="BK49" s="55"/>
      <c r="BL49" s="331"/>
      <c r="BM49" s="9" t="s">
        <v>266</v>
      </c>
      <c r="BN49" s="9">
        <v>9</v>
      </c>
      <c r="BO49" s="9">
        <v>99</v>
      </c>
      <c r="BP49" s="68"/>
      <c r="BQ49" s="7" t="str">
        <f>IF(BO49=99,"", CONCATENATE("10.0.",TEXT(((BITWISE_AND('IP Address (no mod)'!$D$20,BP$22)/4)+BO49*8),"0"),".",TEXT((BITWISE_AND('IP Address (no mod)'!$D$21,BP$22)*64)+BL$39*10+BN49,"0")))</f>
        <v/>
      </c>
      <c r="BR49" s="100">
        <f>IF(BQ49="",0,COUNTIF($ET$26:$ET$114,BQ49)+COUNTIF($Z$26:$Z$114,BQ49)+COUNTIF($AI$26:$AI$114,BQ49)+COUNTIF($AR$26:$AR$114,BQ49)+COUNTIF($AY$26:$AY$114,BQ49)+COUNTIF($BH$26:$BH$114,BQ49)+COUNTIF($BQ$26:$BQ$114,BQ49)+COUNTIF($BZ$26:$BZ$114,BQ49)+COUNTIF($CI$26:$CI$114,BQ49)+COUNTIF($CR$26:$CR$114,BQ49)+COUNTIF($DA$26:$DA$114,BQ49)+COUNTIF($DJ$26:$DJ$114,BQ49)+COUNTIF($DS$26:$DS$114,BQ49)+COUNTIF($EB$26:$EB$114,BQ49)+COUNTIF($EK$26:$EK$114,BQ49)+COUNTIF($I$69:$I$100,BQ49)-1)</f>
        <v>0</v>
      </c>
      <c r="BS49" s="98"/>
      <c r="BT49" s="98"/>
      <c r="BU49" s="98"/>
      <c r="BV49" s="98"/>
      <c r="BW49" s="98"/>
      <c r="BX49" s="98"/>
      <c r="BY49" s="98"/>
      <c r="BZ49" s="98"/>
      <c r="CA49" s="98"/>
      <c r="CB49" s="98"/>
      <c r="CC49" s="98"/>
      <c r="CD49" s="98"/>
      <c r="CE49" s="98"/>
      <c r="CF49" s="98"/>
      <c r="CG49" s="98"/>
      <c r="CH49" s="98"/>
      <c r="CI49" s="98"/>
      <c r="CJ49" s="98"/>
      <c r="CK49" s="98"/>
      <c r="CL49" s="98"/>
      <c r="CM49" s="98"/>
      <c r="CN49" s="98"/>
      <c r="CO49" s="98"/>
      <c r="CP49" s="98"/>
      <c r="CQ49" s="98"/>
      <c r="CR49" s="98"/>
      <c r="CS49" s="98"/>
      <c r="CT49" s="98"/>
      <c r="CU49" s="98"/>
      <c r="CV49" s="98"/>
      <c r="CW49" s="98"/>
      <c r="CX49" s="98"/>
      <c r="CY49" s="98"/>
      <c r="CZ49" s="98"/>
      <c r="DA49" s="98"/>
      <c r="DB49" s="98"/>
      <c r="DC49" s="98"/>
      <c r="DD49" s="98"/>
      <c r="DE49" s="98"/>
      <c r="DF49" s="98"/>
      <c r="DG49" s="98"/>
      <c r="DH49" s="98"/>
      <c r="DI49" s="98"/>
      <c r="DJ49" s="98"/>
      <c r="DK49" s="98"/>
      <c r="DL49" s="98"/>
      <c r="DM49" s="98"/>
      <c r="DN49" s="98"/>
      <c r="DO49" s="98"/>
      <c r="DP49" s="98"/>
      <c r="DQ49" s="98"/>
      <c r="DR49" s="98"/>
      <c r="DS49" s="98"/>
      <c r="DT49" s="98"/>
      <c r="DU49" s="98"/>
      <c r="DV49" s="98"/>
      <c r="DW49" s="98"/>
      <c r="DX49" s="98"/>
      <c r="DY49" s="98"/>
      <c r="DZ49" s="98"/>
      <c r="EA49" s="98"/>
      <c r="EB49" s="98"/>
      <c r="EC49" s="98"/>
      <c r="ED49" s="98"/>
      <c r="EE49" s="98"/>
      <c r="EF49" s="98"/>
      <c r="EG49" s="98"/>
      <c r="EH49" s="98"/>
      <c r="EI49" s="98"/>
      <c r="EJ49" s="98"/>
      <c r="EK49" s="98"/>
      <c r="EL49" s="98"/>
      <c r="EM49" s="93"/>
      <c r="EN49" s="129"/>
      <c r="EO49" s="330"/>
      <c r="EP49" s="9" t="s">
        <v>266</v>
      </c>
      <c r="EQ49" s="9">
        <v>9</v>
      </c>
      <c r="ER49" s="9">
        <v>3</v>
      </c>
      <c r="ES49" s="68" t="s">
        <v>288</v>
      </c>
      <c r="ET49" s="7" t="str">
        <f>IF(ER49=99,"", CONCATENATE("10.0.",TEXT(((BITWISE_AND('IP Address (no mod)'!$D$20,ES$22)/4)+ER49*8),"0"),".",TEXT((BITWISE_AND('IP Address (no mod)'!$D$21,ES$22)*64)+EO$39*10+EQ49,"0")))</f>
        <v>10.0.24.83</v>
      </c>
      <c r="EU49" s="100">
        <f>IF(ET49="",0,COUNTIF($ET$26:$ET$114,ET49)+COUNTIF($Z$26:$Z$114,ET49)+COUNTIF($AI$26:$AI$114,ET49)+COUNTIF($AR$26:$AR$114,ET49)+COUNTIF($AY$26:$AY$114,ET49)+COUNTIF($BH$26:$BH$114,ET49)+COUNTIF($BQ$26:$BQ$114,ET49)+COUNTIF($BZ$26:$BZ$114,ET49)+COUNTIF($CI$26:$CI$114,ET49)+COUNTIF($CR$26:$CR$114,ET49)+COUNTIF($DA$26:$DA$114,ET49)+COUNTIF($DJ$26:$DJ$114,ET49)+COUNTIF($DS$26:$DS$114,ET49)+COUNTIF($EB$26:$EB$114,ET49)+COUNTIF($EK$26:$EK$114,ET49)+COUNTIF($I$69:$I$100,ET49)-1)</f>
        <v>0</v>
      </c>
      <c r="EV49" s="95"/>
    </row>
    <row r="50" spans="1:152">
      <c r="A50" s="342"/>
      <c r="B50" s="98"/>
      <c r="C50" s="55"/>
      <c r="D50" s="330"/>
      <c r="E50" s="63" t="s">
        <v>254</v>
      </c>
      <c r="F50" s="63">
        <v>5</v>
      </c>
      <c r="G50" s="63">
        <v>3</v>
      </c>
      <c r="H50" s="64" t="s">
        <v>474</v>
      </c>
      <c r="I50" s="222" t="str">
        <f>IF(G50=99,"", CONCATENATE("10.0.",TEXT(((BITWISE_AND('IP Address (no mod)'!$D$20,H$22)/4)+G50*8),"0"),".",TEXT((BITWISE_AND('IP Address (no mod)'!$D$21,H$22)*64)+D$44*10+F50,"0")))</f>
        <v>10.0.24.79</v>
      </c>
      <c r="J50" s="178">
        <f>IF(I50="",0,COUNTIF($ET$26:$ET$114,I50)+COUNTIF($Z$26:$Z$114,I50)+COUNTIF($AI$26:$AI$114,I50)+COUNTIF($AR$26:$AR$114,I50)+COUNTIF($AY$26:$AY$114,I50)+COUNTIF($BH$26:$BH$114,I50)+COUNTIF($BQ$26:$BQ$114,I50)+COUNTIF($BZ$26:$BZ$114,I50)+COUNTIF($CI$26:$CI$114,I50)+COUNTIF($CR$26:$CR$114,I50)+COUNTIF($DA$26:$DA$114,I50)+COUNTIF($DJ$26:$DJ$114,I50)+COUNTIF($DS$26:$DS$114,I50)+COUNTIF($EB$26:$EB$114,I50)+COUNTIF($EK$26:$EK$114,I50)+COUNTIF($I$26:$I$100,I50)+COUNTIF($Q$26:$Q$114,I50)-1)</f>
        <v>1</v>
      </c>
      <c r="K50" s="219"/>
      <c r="L50" s="330"/>
      <c r="M50" s="15" t="s">
        <v>254</v>
      </c>
      <c r="N50" s="1">
        <v>5</v>
      </c>
      <c r="O50" s="65">
        <v>3</v>
      </c>
      <c r="P50" s="64" t="s">
        <v>475</v>
      </c>
      <c r="Q50" s="222" t="str">
        <f>IF(O50=99,"", CONCATENATE("10.0.",TEXT(((BITWISE_AND('IP Address (no mod)'!$D$20,H$22)/4)+O50*8),"0"),".",TEXT((BITWISE_AND('IP Address (no mod)'!$D$21,H$22)*64)+L$44*10+N50,"0")))</f>
        <v>10.0.24.119</v>
      </c>
      <c r="R50" s="178">
        <f>IF(Q50="",0,COUNTIF($ET$26:$ET$114,Q50)+COUNTIF($Z$26:$Z$114,Q50)+COUNTIF($AI$26:$AI$114,Q50)+COUNTIF($AR$26:$AR$114,Q50)+COUNTIF($AY$26:$AY$114,Q50)+COUNTIF($BH$26:$BH$114,Q50)+COUNTIF($BQ$26:$BQ$114,Q50)+COUNTIF($BZ$26:$BZ$114,Q50)+COUNTIF($CI$26:$CI$114,Q50)+COUNTIF($CR$26:$CR$114,Q50)+COUNTIF($DA$26:$DA$114,Q50)+COUNTIF($DJ$26:$DJ$114,Q50)+COUNTIF($DS$26:$DS$114,Q50)+COUNTIF($EB$26:$EB$114,Q50)+COUNTIF($EK$26:$EK$114,Q50)+COUNTIF($I$26:$I$100,Q50)+COUNTIF($Q$26:$Q$114,Q50)-1)</f>
        <v>0</v>
      </c>
      <c r="S50" s="95"/>
      <c r="T50" s="98"/>
      <c r="U50" s="98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98"/>
      <c r="AH50" s="98"/>
      <c r="AI50" s="98"/>
      <c r="AJ50" s="98"/>
      <c r="AK50" s="98"/>
      <c r="AL50" s="98"/>
      <c r="AM50" s="98"/>
      <c r="AN50" s="98"/>
      <c r="AO50" s="98"/>
      <c r="AP50" s="98"/>
      <c r="AQ50" s="98"/>
      <c r="AR50" s="98"/>
      <c r="AS50" s="98"/>
      <c r="AT50" s="98"/>
      <c r="AU50" s="98"/>
      <c r="AV50" s="98"/>
      <c r="AW50" s="98"/>
      <c r="AX50" s="98"/>
      <c r="AY50" s="98"/>
      <c r="AZ50" s="98"/>
      <c r="BA50" s="98"/>
      <c r="BB50" s="98"/>
      <c r="BC50" s="98"/>
      <c r="BD50" s="98"/>
      <c r="BE50" s="98"/>
      <c r="BF50" s="98"/>
      <c r="BG50" s="98"/>
      <c r="BH50" s="98"/>
      <c r="BI50" s="98"/>
      <c r="BJ50" s="98"/>
      <c r="BK50" s="98"/>
      <c r="BL50" s="98"/>
      <c r="BM50" s="98"/>
      <c r="BN50" s="98"/>
      <c r="BO50" s="98"/>
      <c r="BP50" s="98"/>
      <c r="BQ50" s="98"/>
      <c r="BR50" s="98"/>
      <c r="BS50" s="98"/>
      <c r="BT50" s="98"/>
      <c r="BU50" s="98"/>
      <c r="BV50" s="98"/>
      <c r="BW50" s="98"/>
      <c r="BX50" s="98"/>
      <c r="BY50" s="98"/>
      <c r="BZ50" s="98"/>
      <c r="CA50" s="98"/>
      <c r="CB50" s="98"/>
      <c r="CC50" s="98"/>
      <c r="CD50" s="98"/>
      <c r="CE50" s="98"/>
      <c r="CF50" s="98"/>
      <c r="CG50" s="98"/>
      <c r="CH50" s="98"/>
      <c r="CI50" s="98"/>
      <c r="CJ50" s="98"/>
      <c r="CK50" s="98"/>
      <c r="CL50" s="98"/>
      <c r="CM50" s="98"/>
      <c r="CN50" s="98"/>
      <c r="CO50" s="98"/>
      <c r="CP50" s="98"/>
      <c r="CQ50" s="98"/>
      <c r="CR50" s="98"/>
      <c r="CS50" s="98"/>
      <c r="CT50" s="98"/>
      <c r="CU50" s="98"/>
      <c r="CV50" s="98"/>
      <c r="CW50" s="98"/>
      <c r="CX50" s="98"/>
      <c r="CY50" s="98"/>
      <c r="CZ50" s="98"/>
      <c r="DA50" s="98"/>
      <c r="DB50" s="98"/>
      <c r="DC50" s="98"/>
      <c r="DD50" s="98"/>
      <c r="DE50" s="98"/>
      <c r="DF50" s="98"/>
      <c r="DG50" s="98"/>
      <c r="DH50" s="98"/>
      <c r="DI50" s="98"/>
      <c r="DJ50" s="98"/>
      <c r="DK50" s="98"/>
      <c r="DL50" s="98"/>
      <c r="DM50" s="98"/>
      <c r="DN50" s="98"/>
      <c r="DO50" s="98"/>
      <c r="DP50" s="98"/>
      <c r="DQ50" s="98"/>
      <c r="DR50" s="98"/>
      <c r="DS50" s="98"/>
      <c r="DT50" s="98"/>
      <c r="DU50" s="98"/>
      <c r="DV50" s="98"/>
      <c r="DW50" s="98"/>
      <c r="DX50" s="98"/>
      <c r="DY50" s="98"/>
      <c r="DZ50" s="98"/>
      <c r="EA50" s="98"/>
      <c r="EB50" s="98"/>
      <c r="EC50" s="98"/>
      <c r="ED50" s="98"/>
      <c r="EE50" s="98"/>
      <c r="EF50" s="98"/>
      <c r="EG50" s="98"/>
      <c r="EH50" s="98"/>
      <c r="EI50" s="98"/>
      <c r="EJ50" s="98"/>
      <c r="EK50" s="98"/>
      <c r="EL50" s="98"/>
      <c r="EM50" s="93"/>
      <c r="EN50" s="129"/>
      <c r="EO50" s="330"/>
      <c r="EP50" s="80"/>
      <c r="EQ50" s="80">
        <v>10</v>
      </c>
      <c r="ER50" s="80">
        <v>1</v>
      </c>
      <c r="ES50" s="65" t="s">
        <v>289</v>
      </c>
      <c r="ET50" s="3" t="str">
        <f>IF(ER50=99,"", CONCATENATE("10.0.",TEXT(((BITWISE_AND('IP Address (no mod)'!$D$20,ES$22)/4)+ER50*8),"0"),".",TEXT((BITWISE_AND('IP Address (no mod)'!$D$21,ES$22)*64)+EO$39*10+EQ50,"0")))</f>
        <v>10.0.8.84</v>
      </c>
      <c r="EU50" s="100">
        <f>IF(ET50="",0,COUNTIF($ET$26:$ET$114,ET50)+COUNTIF($Z$26:$Z$114,ET50)+COUNTIF($AI$26:$AI$114,ET50)+COUNTIF($AR$26:$AR$114,ET50)+COUNTIF($AY$26:$AY$114,ET50)+COUNTIF($BH$26:$BH$114,ET50)+COUNTIF($BQ$26:$BQ$114,ET50)+COUNTIF($BZ$26:$BZ$114,ET50)+COUNTIF($CI$26:$CI$114,ET50)+COUNTIF($CR$26:$CR$114,ET50)+COUNTIF($DA$26:$DA$114,ET50)+COUNTIF($DJ$26:$DJ$114,ET50)+COUNTIF($DS$26:$DS$114,ET50)+COUNTIF($EB$26:$EB$114,ET50)+COUNTIF($EK$26:$EK$114,ET50)+COUNTIF($I$69:$I$100,ET50)-1)</f>
        <v>0</v>
      </c>
      <c r="EV50" s="95"/>
    </row>
    <row r="51" spans="1:152">
      <c r="A51" s="342"/>
      <c r="B51" s="98"/>
      <c r="C51" s="55"/>
      <c r="D51" s="330"/>
      <c r="E51" s="63" t="s">
        <v>257</v>
      </c>
      <c r="F51" s="63">
        <v>6</v>
      </c>
      <c r="G51" s="63">
        <v>3</v>
      </c>
      <c r="H51" s="64" t="s">
        <v>476</v>
      </c>
      <c r="I51" s="222" t="str">
        <f>IF(G51=99,"", CONCATENATE("10.0.",TEXT(((BITWISE_AND('IP Address (no mod)'!$D$20,H$22)/4)+G51*8),"0"),".",TEXT((BITWISE_AND('IP Address (no mod)'!$D$21,H$22)*64)+D$44*10+F51,"0")))</f>
        <v>10.0.24.80</v>
      </c>
      <c r="J51" s="178">
        <f>IF(I51="",0,COUNTIF($ET$26:$ET$114,I51)+COUNTIF($Z$26:$Z$114,I51)+COUNTIF($AI$26:$AI$114,I51)+COUNTIF($AR$26:$AR$114,I51)+COUNTIF($AY$26:$AY$114,I51)+COUNTIF($BH$26:$BH$114,I51)+COUNTIF($BQ$26:$BQ$114,I51)+COUNTIF($BZ$26:$BZ$114,I51)+COUNTIF($CI$26:$CI$114,I51)+COUNTIF($CR$26:$CR$114,I51)+COUNTIF($DA$26:$DA$114,I51)+COUNTIF($DJ$26:$DJ$114,I51)+COUNTIF($DS$26:$DS$114,I51)+COUNTIF($EB$26:$EB$114,I51)+COUNTIF($EK$26:$EK$114,I51)+COUNTIF($I$26:$I$100,I51)+COUNTIF($Q$26:$Q$114,I51)-1)</f>
        <v>1</v>
      </c>
      <c r="K51" s="219"/>
      <c r="L51" s="330"/>
      <c r="M51" s="15" t="s">
        <v>257</v>
      </c>
      <c r="N51" s="1">
        <v>6</v>
      </c>
      <c r="O51" s="65">
        <v>3</v>
      </c>
      <c r="P51" s="64" t="s">
        <v>477</v>
      </c>
      <c r="Q51" s="222" t="str">
        <f>IF(O51=99,"", CONCATENATE("10.0.",TEXT(((BITWISE_AND('IP Address (no mod)'!$D$20,H$22)/4)+O51*8),"0"),".",TEXT((BITWISE_AND('IP Address (no mod)'!$D$21,H$22)*64)+L$44*10+N51,"0")))</f>
        <v>10.0.24.120</v>
      </c>
      <c r="R51" s="178">
        <f>IF(Q51="",0,COUNTIF($ET$26:$ET$114,Q51)+COUNTIF($Z$26:$Z$114,Q51)+COUNTIF($AI$26:$AI$114,Q51)+COUNTIF($AR$26:$AR$114,Q51)+COUNTIF($AY$26:$AY$114,Q51)+COUNTIF($BH$26:$BH$114,Q51)+COUNTIF($BQ$26:$BQ$114,Q51)+COUNTIF($BZ$26:$BZ$114,Q51)+COUNTIF($CI$26:$CI$114,Q51)+COUNTIF($CR$26:$CR$114,Q51)+COUNTIF($DA$26:$DA$114,Q51)+COUNTIF($DJ$26:$DJ$114,Q51)+COUNTIF($DS$26:$DS$114,Q51)+COUNTIF($EB$26:$EB$114,Q51)+COUNTIF($EK$26:$EK$114,Q51)+COUNTIF($I$26:$I$100,Q51)+COUNTIF($Q$26:$Q$114,Q51)-1)</f>
        <v>0</v>
      </c>
      <c r="S51" s="95"/>
      <c r="T51" s="98"/>
      <c r="U51" s="98"/>
      <c r="V51" s="98"/>
      <c r="W51" s="98"/>
      <c r="X51" s="98"/>
      <c r="Y51" s="98"/>
      <c r="Z51" s="98"/>
      <c r="AA51" s="98"/>
      <c r="AB51" s="98"/>
      <c r="AC51" s="98"/>
      <c r="AD51" s="98"/>
      <c r="AE51" s="98"/>
      <c r="AF51" s="98"/>
      <c r="AG51" s="98"/>
      <c r="AH51" s="98"/>
      <c r="AI51" s="98"/>
      <c r="AJ51" s="98"/>
      <c r="AK51" s="98"/>
      <c r="AL51" s="98"/>
      <c r="AM51" s="98"/>
      <c r="AN51" s="98"/>
      <c r="AO51" s="98"/>
      <c r="AP51" s="98"/>
      <c r="AQ51" s="98"/>
      <c r="AR51" s="98"/>
      <c r="AS51" s="98"/>
      <c r="AT51" s="98"/>
      <c r="AU51" s="98"/>
      <c r="AV51" s="98"/>
      <c r="AW51" s="98"/>
      <c r="AX51" s="98"/>
      <c r="AY51" s="98"/>
      <c r="AZ51" s="98"/>
      <c r="BA51" s="98"/>
      <c r="BB51" s="98"/>
      <c r="BC51" s="98"/>
      <c r="BD51" s="98"/>
      <c r="BE51" s="98"/>
      <c r="BF51" s="98"/>
      <c r="BG51" s="98"/>
      <c r="BH51" s="98"/>
      <c r="BI51" s="98"/>
      <c r="BJ51" s="98"/>
      <c r="BK51" s="98"/>
      <c r="BL51" s="98"/>
      <c r="BM51" s="98"/>
      <c r="BN51" s="98"/>
      <c r="BO51" s="98"/>
      <c r="BP51" s="98"/>
      <c r="BQ51" s="98"/>
      <c r="BR51" s="98"/>
      <c r="BS51" s="98"/>
      <c r="BT51" s="98"/>
      <c r="BU51" s="98"/>
      <c r="BV51" s="98"/>
      <c r="BW51" s="98"/>
      <c r="BX51" s="98"/>
      <c r="BY51" s="98"/>
      <c r="BZ51" s="98"/>
      <c r="CA51" s="98"/>
      <c r="CB51" s="98"/>
      <c r="CC51" s="98"/>
      <c r="CD51" s="98"/>
      <c r="CE51" s="98"/>
      <c r="CF51" s="98"/>
      <c r="CG51" s="98"/>
      <c r="CH51" s="98"/>
      <c r="CI51" s="98"/>
      <c r="CJ51" s="98"/>
      <c r="CK51" s="98"/>
      <c r="CL51" s="98"/>
      <c r="CM51" s="98"/>
      <c r="CN51" s="98"/>
      <c r="CO51" s="98"/>
      <c r="CP51" s="98"/>
      <c r="CQ51" s="98"/>
      <c r="CR51" s="98"/>
      <c r="CS51" s="98"/>
      <c r="CT51" s="98"/>
      <c r="CU51" s="98"/>
      <c r="CV51" s="98"/>
      <c r="CW51" s="98"/>
      <c r="CX51" s="98"/>
      <c r="CY51" s="98"/>
      <c r="CZ51" s="98"/>
      <c r="DA51" s="98"/>
      <c r="DB51" s="98"/>
      <c r="DC51" s="98"/>
      <c r="DD51" s="98"/>
      <c r="DE51" s="98"/>
      <c r="DF51" s="98"/>
      <c r="DG51" s="98"/>
      <c r="DH51" s="98"/>
      <c r="DI51" s="98"/>
      <c r="DJ51" s="98"/>
      <c r="DK51" s="98"/>
      <c r="DL51" s="98"/>
      <c r="DM51" s="98"/>
      <c r="DN51" s="98"/>
      <c r="DO51" s="98"/>
      <c r="DP51" s="98"/>
      <c r="DQ51" s="98"/>
      <c r="DR51" s="98"/>
      <c r="DS51" s="98"/>
      <c r="DT51" s="98"/>
      <c r="DU51" s="98"/>
      <c r="DV51" s="98"/>
      <c r="DW51" s="98"/>
      <c r="DX51" s="98"/>
      <c r="DY51" s="98"/>
      <c r="DZ51" s="98"/>
      <c r="EA51" s="98"/>
      <c r="EB51" s="98"/>
      <c r="EC51" s="98"/>
      <c r="ED51" s="98"/>
      <c r="EE51" s="98"/>
      <c r="EF51" s="98"/>
      <c r="EG51" s="98"/>
      <c r="EH51" s="98"/>
      <c r="EI51" s="98"/>
      <c r="EJ51" s="98"/>
      <c r="EK51" s="98"/>
      <c r="EL51" s="98"/>
      <c r="EM51" s="93"/>
      <c r="EN51" s="69"/>
      <c r="EO51" s="330"/>
      <c r="EP51" s="76"/>
      <c r="EQ51" s="76">
        <v>10</v>
      </c>
      <c r="ER51" s="76">
        <v>2</v>
      </c>
      <c r="ES51" s="1" t="s">
        <v>290</v>
      </c>
      <c r="ET51" s="3" t="str">
        <f>IF(ER51=99,"", CONCATENATE("10.0.",TEXT(((BITWISE_AND('IP Address (no mod)'!$D$20,ES$22)/4)+ER51*8),"0"),".",TEXT((BITWISE_AND('IP Address (no mod)'!$D$21,ES$22)*64)+EO$39*10+EQ51,"0")))</f>
        <v>10.0.16.84</v>
      </c>
      <c r="EU51" s="100">
        <f>IF(ET51="",0,COUNTIF($ET$26:$ET$114,ET51)+COUNTIF($Z$26:$Z$114,ET51)+COUNTIF($AI$26:$AI$114,ET51)+COUNTIF($AR$26:$AR$114,ET51)+COUNTIF($AY$26:$AY$114,ET51)+COUNTIF($BH$26:$BH$114,ET51)+COUNTIF($BQ$26:$BQ$114,ET51)+COUNTIF($BZ$26:$BZ$114,ET51)+COUNTIF($CI$26:$CI$114,ET51)+COUNTIF($CR$26:$CR$114,ET51)+COUNTIF($DA$26:$DA$114,ET51)+COUNTIF($DJ$26:$DJ$114,ET51)+COUNTIF($DS$26:$DS$114,ET51)+COUNTIF($EB$26:$EB$114,ET51)+COUNTIF($EK$26:$EK$114,ET51)+COUNTIF($I$69:$I$100,ET51)-1)</f>
        <v>0</v>
      </c>
      <c r="EV51" s="95"/>
    </row>
    <row r="52" spans="1:152">
      <c r="A52" s="342"/>
      <c r="B52" s="98"/>
      <c r="C52" s="55"/>
      <c r="D52" s="330"/>
      <c r="E52" s="63" t="s">
        <v>259</v>
      </c>
      <c r="F52" s="63">
        <v>7</v>
      </c>
      <c r="G52" s="63">
        <v>2</v>
      </c>
      <c r="H52" s="64" t="s">
        <v>484</v>
      </c>
      <c r="I52" s="222" t="str">
        <f>IF(G52=99,"", CONCATENATE("10.0.",TEXT(((BITWISE_AND('IP Address (no mod)'!$D$20,H$22)/4)+G52*8),"0"),".",TEXT((BITWISE_AND('IP Address (no mod)'!$D$21,H$22)*64)+D$44*10+F52,"0")))</f>
        <v>10.0.16.81</v>
      </c>
      <c r="J52" s="178">
        <f>IF(I52="",0,COUNTIF($ET$26:$ET$114,I52)+COUNTIF($Z$26:$Z$114,I52)+COUNTIF($AI$26:$AI$114,I52)+COUNTIF($AR$26:$AR$114,I52)+COUNTIF($AY$26:$AY$114,I52)+COUNTIF($BH$26:$BH$114,I52)+COUNTIF($BQ$26:$BQ$114,I52)+COUNTIF($BZ$26:$BZ$114,I52)+COUNTIF($CI$26:$CI$114,I52)+COUNTIF($CR$26:$CR$114,I52)+COUNTIF($DA$26:$DA$114,I52)+COUNTIF($DJ$26:$DJ$114,I52)+COUNTIF($DS$26:$DS$114,I52)+COUNTIF($EB$26:$EB$114,I52)+COUNTIF($EK$26:$EK$114,I52)+COUNTIF($I$26:$I$100,I52)+COUNTIF($Q$26:$Q$114,I52)-1)</f>
        <v>0</v>
      </c>
      <c r="K52" s="219"/>
      <c r="L52" s="330"/>
      <c r="M52" s="15" t="s">
        <v>259</v>
      </c>
      <c r="N52" s="1">
        <v>7</v>
      </c>
      <c r="O52" s="65">
        <v>3</v>
      </c>
      <c r="P52" s="64" t="s">
        <v>288</v>
      </c>
      <c r="Q52" s="228" t="str">
        <f>IF(O52=99,"", CONCATENATE("10.0.",TEXT(((BITWISE_AND('IP Address (no mod)'!$D$20,H$22)/4)+O52*8),"0"),".",TEXT((BITWISE_AND('IP Address (no mod)'!$D$21,H$22)*64)+L$44*10+N52,"0")))</f>
        <v>10.0.24.121</v>
      </c>
      <c r="R52" s="178">
        <f>IF(Q52="",0,COUNTIF($ET$26:$ET$114,Q52)+COUNTIF($Z$26:$Z$114,Q52)+COUNTIF($AI$26:$AI$114,Q52)+COUNTIF($AR$26:$AR$114,Q52)+COUNTIF($AY$26:$AY$114,Q52)+COUNTIF($BH$26:$BH$114,Q52)+COUNTIF($BQ$26:$BQ$114,Q52)+COUNTIF($BZ$26:$BZ$114,Q52)+COUNTIF($CI$26:$CI$114,Q52)+COUNTIF($CR$26:$CR$114,Q52)+COUNTIF($DA$26:$DA$114,Q52)+COUNTIF($DJ$26:$DJ$114,Q52)+COUNTIF($DS$26:$DS$114,Q52)+COUNTIF($EB$26:$EB$114,Q52)+COUNTIF($EK$26:$EK$114,Q52)+COUNTIF($I$26:$I$100,Q52)+COUNTIF($Q$26:$Q$114,Q52)-1)</f>
        <v>0</v>
      </c>
      <c r="S52" s="95"/>
      <c r="T52" s="98"/>
      <c r="U52" s="98"/>
      <c r="V52" s="98"/>
      <c r="W52" s="98"/>
      <c r="X52" s="98"/>
      <c r="Y52" s="98"/>
      <c r="Z52" s="98"/>
      <c r="AA52" s="98"/>
      <c r="AB52" s="98"/>
      <c r="AC52" s="98"/>
      <c r="AD52" s="98"/>
      <c r="AE52" s="98"/>
      <c r="AF52" s="98"/>
      <c r="AG52" s="98"/>
      <c r="AH52" s="98"/>
      <c r="AI52" s="98"/>
      <c r="AJ52" s="98"/>
      <c r="AK52" s="98"/>
      <c r="AL52" s="98"/>
      <c r="AM52" s="98"/>
      <c r="AN52" s="98"/>
      <c r="AO52" s="98"/>
      <c r="AP52" s="98"/>
      <c r="AQ52" s="98"/>
      <c r="AR52" s="98"/>
      <c r="AS52" s="98"/>
      <c r="AT52" s="98"/>
      <c r="AU52" s="98"/>
      <c r="AV52" s="98"/>
      <c r="AW52" s="98"/>
      <c r="AX52" s="98"/>
      <c r="AY52" s="98"/>
      <c r="AZ52" s="98"/>
      <c r="BA52" s="98"/>
      <c r="BB52" s="98"/>
      <c r="BC52" s="98"/>
      <c r="BD52" s="98"/>
      <c r="BE52" s="98"/>
      <c r="BF52" s="98"/>
      <c r="BG52" s="98"/>
      <c r="BH52" s="98"/>
      <c r="BI52" s="98"/>
      <c r="BJ52" s="98"/>
      <c r="BK52" s="98"/>
      <c r="BL52" s="98"/>
      <c r="BM52" s="98"/>
      <c r="BN52" s="98"/>
      <c r="BO52" s="98"/>
      <c r="BP52" s="98"/>
      <c r="BQ52" s="98"/>
      <c r="BR52" s="98"/>
      <c r="BS52" s="98"/>
      <c r="BT52" s="98"/>
      <c r="BU52" s="98"/>
      <c r="BV52" s="98"/>
      <c r="BW52" s="98"/>
      <c r="BX52" s="98"/>
      <c r="BY52" s="98"/>
      <c r="BZ52" s="98"/>
      <c r="CA52" s="98"/>
      <c r="CB52" s="98"/>
      <c r="CC52" s="98"/>
      <c r="CD52" s="98"/>
      <c r="CE52" s="98"/>
      <c r="CF52" s="98"/>
      <c r="CG52" s="98"/>
      <c r="CH52" s="98"/>
      <c r="CI52" s="98"/>
      <c r="CJ52" s="98"/>
      <c r="CK52" s="98"/>
      <c r="CL52" s="98"/>
      <c r="CM52" s="98"/>
      <c r="CN52" s="98"/>
      <c r="CO52" s="98"/>
      <c r="CP52" s="98"/>
      <c r="CQ52" s="98"/>
      <c r="CR52" s="98"/>
      <c r="CS52" s="98"/>
      <c r="CT52" s="98"/>
      <c r="CU52" s="98"/>
      <c r="CV52" s="98"/>
      <c r="CW52" s="98"/>
      <c r="CX52" s="98"/>
      <c r="CY52" s="98"/>
      <c r="CZ52" s="98"/>
      <c r="DA52" s="98"/>
      <c r="DB52" s="98"/>
      <c r="DC52" s="98"/>
      <c r="DD52" s="98"/>
      <c r="DE52" s="98"/>
      <c r="DF52" s="98"/>
      <c r="DG52" s="98"/>
      <c r="DH52" s="98"/>
      <c r="DI52" s="98"/>
      <c r="DJ52" s="98"/>
      <c r="DK52" s="98"/>
      <c r="DL52" s="98"/>
      <c r="DM52" s="98"/>
      <c r="DN52" s="98"/>
      <c r="DO52" s="98"/>
      <c r="DP52" s="98"/>
      <c r="DQ52" s="98"/>
      <c r="DR52" s="98"/>
      <c r="DS52" s="98"/>
      <c r="DT52" s="98"/>
      <c r="DU52" s="98"/>
      <c r="DV52" s="98"/>
      <c r="DW52" s="98"/>
      <c r="DX52" s="98"/>
      <c r="DY52" s="98"/>
      <c r="DZ52" s="98"/>
      <c r="EA52" s="98"/>
      <c r="EB52" s="98"/>
      <c r="EC52" s="98"/>
      <c r="ED52" s="98"/>
      <c r="EE52" s="98"/>
      <c r="EF52" s="98"/>
      <c r="EG52" s="98"/>
      <c r="EH52" s="98"/>
      <c r="EI52" s="98"/>
      <c r="EJ52" s="98"/>
      <c r="EK52" s="98"/>
      <c r="EL52" s="98"/>
      <c r="EM52" s="93"/>
      <c r="EN52" s="69"/>
      <c r="EO52" s="330"/>
      <c r="EP52" s="76"/>
      <c r="EQ52" s="76">
        <v>10</v>
      </c>
      <c r="ER52" s="76">
        <v>3</v>
      </c>
      <c r="ES52" s="1" t="s">
        <v>291</v>
      </c>
      <c r="ET52" s="3" t="str">
        <f>IF(ER52=99,"", CONCATENATE("10.0.",TEXT(((BITWISE_AND('IP Address (no mod)'!$D$20,ES$22)/4)+ER52*8),"0"),".",TEXT((BITWISE_AND('IP Address (no mod)'!$D$21,ES$22)*64)+EO$39*10+EQ52,"0")))</f>
        <v>10.0.24.84</v>
      </c>
      <c r="EU52" s="100">
        <f>IF(ET52="",0,COUNTIF($ET$26:$ET$114,ET52)+COUNTIF($Z$26:$Z$114,ET52)+COUNTIF($AI$26:$AI$114,ET52)+COUNTIF($AR$26:$AR$114,ET52)+COUNTIF($AY$26:$AY$114,ET52)+COUNTIF($BH$26:$BH$114,ET52)+COUNTIF($BQ$26:$BQ$114,ET52)+COUNTIF($BZ$26:$BZ$114,ET52)+COUNTIF($CI$26:$CI$114,ET52)+COUNTIF($CR$26:$CR$114,ET52)+COUNTIF($DA$26:$DA$114,ET52)+COUNTIF($DJ$26:$DJ$114,ET52)+COUNTIF($DS$26:$DS$114,ET52)+COUNTIF($EB$26:$EB$114,ET52)+COUNTIF($EK$26:$EK$114,ET52)+COUNTIF($I$69:$I$100,ET52)-1)</f>
        <v>0</v>
      </c>
      <c r="EV52" s="95"/>
    </row>
    <row r="53" spans="1:152">
      <c r="A53" s="342"/>
      <c r="B53" s="98"/>
      <c r="C53" s="55"/>
      <c r="D53" s="330"/>
      <c r="E53" s="229" t="s">
        <v>263</v>
      </c>
      <c r="F53" s="8">
        <v>8</v>
      </c>
      <c r="G53" s="8">
        <v>4</v>
      </c>
      <c r="H53" s="120" t="s">
        <v>286</v>
      </c>
      <c r="I53" s="222"/>
      <c r="J53" s="178">
        <f>IF(I53="",0,COUNTIF($ET$26:$ET$114,I53)+COUNTIF($Z$26:$Z$114,I53)+COUNTIF($AI$26:$AI$114,I53)+COUNTIF($AR$26:$AR$114,I53)+COUNTIF($AY$26:$AY$114,I53)+COUNTIF($BH$26:$BH$114,I53)+COUNTIF($BQ$26:$BQ$114,I53)+COUNTIF($BZ$26:$BZ$114,I53)+COUNTIF($CI$26:$CI$114,I53)+COUNTIF($CR$26:$CR$114,I53)+COUNTIF($DA$26:$DA$114,I53)+COUNTIF($DJ$26:$DJ$114,I53)+COUNTIF($DS$26:$DS$114,I53)+COUNTIF($EB$26:$EB$114,I53)+COUNTIF($EK$26:$EK$114,I53)+COUNTIF($I$26:$I$100,I53)+COUNTIF($Q$26:$Q$114,I53)-1)</f>
        <v>0</v>
      </c>
      <c r="K53" s="219"/>
      <c r="L53" s="330"/>
      <c r="M53" s="205" t="s">
        <v>263</v>
      </c>
      <c r="N53" s="2">
        <v>8</v>
      </c>
      <c r="O53" s="2">
        <v>0</v>
      </c>
      <c r="P53" s="206"/>
      <c r="Q53" s="175"/>
      <c r="R53" s="178">
        <f>IF(Q53="",0,COUNTIF($ET$26:$ET$114,Q53)+COUNTIF($Z$26:$Z$114,Q53)+COUNTIF($AI$26:$AI$114,Q53)+COUNTIF($AR$26:$AR$114,Q53)+COUNTIF($AY$26:$AY$114,Q53)+COUNTIF($BH$26:$BH$114,Q53)+COUNTIF($BQ$26:$BQ$114,Q53)+COUNTIF($BZ$26:$BZ$114,Q53)+COUNTIF($CI$26:$CI$114,Q53)+COUNTIF($CR$26:$CR$114,Q53)+COUNTIF($DA$26:$DA$114,Q53)+COUNTIF($DJ$26:$DJ$114,Q53)+COUNTIF($DS$26:$DS$114,Q53)+COUNTIF($EB$26:$EB$114,Q53)+COUNTIF($EK$26:$EK$114,Q53)+COUNTIF($I$26:$I$100,Q53)+COUNTIF($Q$26:$Q$114,Q53)-1)</f>
        <v>0</v>
      </c>
      <c r="S53" s="95"/>
      <c r="T53" s="98"/>
      <c r="U53" s="98"/>
      <c r="V53" s="98"/>
      <c r="W53" s="98"/>
      <c r="X53" s="98"/>
      <c r="Y53" s="98"/>
      <c r="Z53" s="98"/>
      <c r="AA53" s="98"/>
      <c r="AB53" s="98"/>
      <c r="AC53" s="98"/>
      <c r="AD53" s="98"/>
      <c r="AE53" s="98"/>
      <c r="AF53" s="98"/>
      <c r="AG53" s="98"/>
      <c r="AH53" s="98"/>
      <c r="AI53" s="98"/>
      <c r="AJ53" s="98"/>
      <c r="AK53" s="98"/>
      <c r="AL53" s="98"/>
      <c r="AM53" s="98"/>
      <c r="AN53" s="98"/>
      <c r="AO53" s="98"/>
      <c r="AP53" s="98"/>
      <c r="AQ53" s="98"/>
      <c r="AR53" s="98"/>
      <c r="AS53" s="98"/>
      <c r="AT53" s="98"/>
      <c r="AU53" s="98"/>
      <c r="AV53" s="98"/>
      <c r="AW53" s="98"/>
      <c r="AX53" s="98"/>
      <c r="AY53" s="98"/>
      <c r="AZ53" s="98"/>
      <c r="BA53" s="98"/>
      <c r="BB53" s="98"/>
      <c r="BC53" s="98"/>
      <c r="BD53" s="98"/>
      <c r="BE53" s="98"/>
      <c r="BF53" s="98"/>
      <c r="BG53" s="98"/>
      <c r="BH53" s="98"/>
      <c r="BI53" s="98"/>
      <c r="BJ53" s="98"/>
      <c r="BK53" s="98"/>
      <c r="BL53" s="98"/>
      <c r="BM53" s="98"/>
      <c r="BN53" s="98"/>
      <c r="BO53" s="98"/>
      <c r="BP53" s="98"/>
      <c r="BQ53" s="98"/>
      <c r="BR53" s="98"/>
      <c r="BS53" s="98"/>
      <c r="BT53" s="98"/>
      <c r="BU53" s="98"/>
      <c r="BV53" s="98"/>
      <c r="BW53" s="98"/>
      <c r="BX53" s="98"/>
      <c r="BY53" s="98"/>
      <c r="BZ53" s="98"/>
      <c r="CA53" s="98"/>
      <c r="CB53" s="98"/>
      <c r="CC53" s="98"/>
      <c r="CD53" s="98"/>
      <c r="CE53" s="98"/>
      <c r="CF53" s="98"/>
      <c r="CG53" s="98"/>
      <c r="CH53" s="98"/>
      <c r="CI53" s="98"/>
      <c r="CJ53" s="98"/>
      <c r="CK53" s="98"/>
      <c r="CL53" s="98"/>
      <c r="CM53" s="98"/>
      <c r="CN53" s="98"/>
      <c r="CO53" s="98"/>
      <c r="CP53" s="98"/>
      <c r="CQ53" s="98"/>
      <c r="CR53" s="98"/>
      <c r="CS53" s="98"/>
      <c r="CT53" s="98"/>
      <c r="CU53" s="98"/>
      <c r="CV53" s="98"/>
      <c r="CW53" s="98"/>
      <c r="CX53" s="98"/>
      <c r="CY53" s="98"/>
      <c r="CZ53" s="98"/>
      <c r="DA53" s="98"/>
      <c r="DB53" s="98"/>
      <c r="DC53" s="98"/>
      <c r="DD53" s="98"/>
      <c r="DE53" s="98"/>
      <c r="DF53" s="98"/>
      <c r="DG53" s="98"/>
      <c r="DH53" s="98"/>
      <c r="DI53" s="98"/>
      <c r="DJ53" s="98"/>
      <c r="DK53" s="98"/>
      <c r="DL53" s="98"/>
      <c r="DM53" s="98"/>
      <c r="DN53" s="98"/>
      <c r="DO53" s="98"/>
      <c r="DP53" s="98"/>
      <c r="DQ53" s="98"/>
      <c r="DR53" s="98"/>
      <c r="DS53" s="98"/>
      <c r="DT53" s="98"/>
      <c r="DU53" s="98"/>
      <c r="DV53" s="98"/>
      <c r="DW53" s="98"/>
      <c r="DX53" s="98"/>
      <c r="DY53" s="98"/>
      <c r="DZ53" s="98"/>
      <c r="EA53" s="98"/>
      <c r="EB53" s="98"/>
      <c r="EC53" s="98"/>
      <c r="ED53" s="98"/>
      <c r="EE53" s="98"/>
      <c r="EF53" s="98"/>
      <c r="EG53" s="98"/>
      <c r="EH53" s="98"/>
      <c r="EI53" s="98"/>
      <c r="EJ53" s="98"/>
      <c r="EK53" s="98"/>
      <c r="EL53" s="98"/>
      <c r="EM53" s="93"/>
      <c r="EN53" s="69"/>
      <c r="EO53" s="330"/>
      <c r="EP53" s="76"/>
      <c r="EQ53" s="76">
        <v>10</v>
      </c>
      <c r="ER53" s="76">
        <v>4</v>
      </c>
      <c r="ES53" s="1" t="s">
        <v>292</v>
      </c>
      <c r="ET53" s="3" t="str">
        <f>IF(ER53=99,"", CONCATENATE("10.0.",TEXT(((BITWISE_AND('IP Address (no mod)'!$D$20,ES$22)/4)+ER53*8),"0"),".",TEXT((BITWISE_AND('IP Address (no mod)'!$D$21,ES$22)*64)+EO$39*10+EQ53,"0")))</f>
        <v>10.0.32.84</v>
      </c>
      <c r="EU53" s="100">
        <f>IF(ET53="",0,COUNTIF($ET$26:$ET$114,ET53)+COUNTIF($Z$26:$Z$114,ET53)+COUNTIF($AI$26:$AI$114,ET53)+COUNTIF($AR$26:$AR$114,ET53)+COUNTIF($AY$26:$AY$114,ET53)+COUNTIF($BH$26:$BH$114,ET53)+COUNTIF($BQ$26:$BQ$114,ET53)+COUNTIF($BZ$26:$BZ$114,ET53)+COUNTIF($CI$26:$CI$114,ET53)+COUNTIF($CR$26:$CR$114,ET53)+COUNTIF($DA$26:$DA$114,ET53)+COUNTIF($DJ$26:$DJ$114,ET53)+COUNTIF($DS$26:$DS$114,ET53)+COUNTIF($EB$26:$EB$114,ET53)+COUNTIF($EK$26:$EK$114,ET53)+COUNTIF($I$69:$I$100,ET53)-1)</f>
        <v>0</v>
      </c>
      <c r="EV53" s="95"/>
    </row>
    <row r="54" spans="1:152" ht="15.75" thickBot="1">
      <c r="A54" s="342"/>
      <c r="B54" s="98"/>
      <c r="C54" s="55"/>
      <c r="D54" s="330"/>
      <c r="E54" s="70" t="s">
        <v>266</v>
      </c>
      <c r="F54" s="70">
        <v>9</v>
      </c>
      <c r="G54" s="70">
        <v>0</v>
      </c>
      <c r="H54" s="78"/>
      <c r="I54" s="252"/>
      <c r="J54" s="178">
        <f>IF(I54="",0,COUNTIF($ET$26:$ET$114,I54)+COUNTIF($Z$26:$Z$114,I54)+COUNTIF($AI$26:$AI$114,I54)+COUNTIF($AR$26:$AR$114,I54)+COUNTIF($AY$26:$AY$114,I54)+COUNTIF($BH$26:$BH$114,I54)+COUNTIF($BQ$26:$BQ$114,I54)+COUNTIF($BZ$26:$BZ$114,I54)+COUNTIF($CI$26:$CI$114,I54)+COUNTIF($CR$26:$CR$114,I54)+COUNTIF($DA$26:$DA$114,I54)+COUNTIF($DJ$26:$DJ$114,I54)+COUNTIF($DS$26:$DS$114,I54)+COUNTIF($EB$26:$EB$114,I54)+COUNTIF($EK$26:$EK$114,I54)+COUNTIF($I$26:$I$100,I54)+COUNTIF($Q$26:$Q$114,I54)-1)</f>
        <v>0</v>
      </c>
      <c r="K54" s="219"/>
      <c r="L54" s="330"/>
      <c r="M54" s="251" t="s">
        <v>266</v>
      </c>
      <c r="N54" s="78">
        <v>9</v>
      </c>
      <c r="O54" s="78">
        <v>0</v>
      </c>
      <c r="P54" s="78"/>
      <c r="Q54" s="252"/>
      <c r="R54" s="178">
        <f>IF(Q54="",0,COUNTIF($ET$26:$ET$114,Q54)+COUNTIF($Z$26:$Z$114,Q54)+COUNTIF($AI$26:$AI$114,Q54)+COUNTIF($AR$26:$AR$114,Q54)+COUNTIF($AY$26:$AY$114,Q54)+COUNTIF($BH$26:$BH$114,Q54)+COUNTIF($BQ$26:$BQ$114,Q54)+COUNTIF($BZ$26:$BZ$114,Q54)+COUNTIF($CI$26:$CI$114,Q54)+COUNTIF($CR$26:$CR$114,Q54)+COUNTIF($DA$26:$DA$114,Q54)+COUNTIF($DJ$26:$DJ$114,Q54)+COUNTIF($DS$26:$DS$114,Q54)+COUNTIF($EB$26:$EB$114,Q54)+COUNTIF($EK$26:$EK$114,Q54)+COUNTIF($I$26:$I$100,Q54)+COUNTIF($Q$26:$Q$114,Q54)-1)</f>
        <v>0</v>
      </c>
      <c r="S54" s="95"/>
      <c r="T54" s="98"/>
      <c r="U54" s="98"/>
      <c r="V54" s="98"/>
      <c r="W54" s="98"/>
      <c r="X54" s="98"/>
      <c r="Y54" s="98"/>
      <c r="Z54" s="98"/>
      <c r="AA54" s="98"/>
      <c r="AB54" s="98"/>
      <c r="AC54" s="98"/>
      <c r="AD54" s="98"/>
      <c r="AE54" s="98"/>
      <c r="AF54" s="98"/>
      <c r="AG54" s="98"/>
      <c r="AH54" s="98"/>
      <c r="AI54" s="98"/>
      <c r="AJ54" s="98"/>
      <c r="AK54" s="98"/>
      <c r="AL54" s="98"/>
      <c r="AM54" s="98"/>
      <c r="AN54" s="98"/>
      <c r="AO54" s="98"/>
      <c r="AP54" s="98"/>
      <c r="AQ54" s="98"/>
      <c r="AR54" s="98"/>
      <c r="AS54" s="98"/>
      <c r="AT54" s="98"/>
      <c r="AU54" s="98"/>
      <c r="AV54" s="98"/>
      <c r="AW54" s="98"/>
      <c r="AX54" s="98"/>
      <c r="AY54" s="98"/>
      <c r="AZ54" s="98"/>
      <c r="BA54" s="98"/>
      <c r="BB54" s="98"/>
      <c r="BC54" s="98"/>
      <c r="BD54" s="98"/>
      <c r="BE54" s="98"/>
      <c r="BF54" s="98"/>
      <c r="BG54" s="98"/>
      <c r="BH54" s="98"/>
      <c r="BI54" s="98"/>
      <c r="BJ54" s="98"/>
      <c r="BK54" s="98"/>
      <c r="BL54" s="98"/>
      <c r="BM54" s="98"/>
      <c r="BN54" s="98"/>
      <c r="BO54" s="98"/>
      <c r="BP54" s="98"/>
      <c r="BQ54" s="98"/>
      <c r="BR54" s="98"/>
      <c r="BS54" s="98"/>
      <c r="BT54" s="98"/>
      <c r="BU54" s="98"/>
      <c r="BV54" s="98"/>
      <c r="BW54" s="98"/>
      <c r="BX54" s="98"/>
      <c r="BY54" s="98"/>
      <c r="BZ54" s="98"/>
      <c r="CA54" s="98"/>
      <c r="CB54" s="98"/>
      <c r="CC54" s="98"/>
      <c r="CD54" s="98"/>
      <c r="CE54" s="98"/>
      <c r="CF54" s="98"/>
      <c r="CG54" s="98"/>
      <c r="CH54" s="98"/>
      <c r="CI54" s="98"/>
      <c r="CJ54" s="98"/>
      <c r="CK54" s="98"/>
      <c r="CL54" s="98"/>
      <c r="CM54" s="98"/>
      <c r="CN54" s="98"/>
      <c r="CO54" s="98"/>
      <c r="CP54" s="98"/>
      <c r="CQ54" s="98"/>
      <c r="CR54" s="98"/>
      <c r="CS54" s="98"/>
      <c r="CT54" s="98"/>
      <c r="CU54" s="98"/>
      <c r="CV54" s="98"/>
      <c r="CW54" s="98"/>
      <c r="CX54" s="98"/>
      <c r="CY54" s="98"/>
      <c r="CZ54" s="98"/>
      <c r="DA54" s="98"/>
      <c r="DB54" s="98"/>
      <c r="DC54" s="98"/>
      <c r="DD54" s="98"/>
      <c r="DE54" s="98"/>
      <c r="DF54" s="98"/>
      <c r="DG54" s="98"/>
      <c r="DH54" s="98"/>
      <c r="DI54" s="98"/>
      <c r="DJ54" s="98"/>
      <c r="DK54" s="98"/>
      <c r="DL54" s="98"/>
      <c r="DM54" s="98"/>
      <c r="DN54" s="98"/>
      <c r="DO54" s="98"/>
      <c r="DP54" s="98"/>
      <c r="DQ54" s="98"/>
      <c r="DR54" s="98"/>
      <c r="DS54" s="98"/>
      <c r="DT54" s="98"/>
      <c r="DU54" s="98"/>
      <c r="DV54" s="98"/>
      <c r="DW54" s="98"/>
      <c r="DX54" s="98"/>
      <c r="DY54" s="98"/>
      <c r="DZ54" s="98"/>
      <c r="EA54" s="98"/>
      <c r="EB54" s="98"/>
      <c r="EC54" s="98"/>
      <c r="ED54" s="98"/>
      <c r="EE54" s="98"/>
      <c r="EF54" s="98"/>
      <c r="EG54" s="98"/>
      <c r="EH54" s="98"/>
      <c r="EI54" s="98"/>
      <c r="EJ54" s="98"/>
      <c r="EK54" s="98"/>
      <c r="EL54" s="98"/>
      <c r="EM54" s="93"/>
      <c r="EN54" s="69"/>
      <c r="EO54" s="330"/>
      <c r="EP54" s="76"/>
      <c r="EQ54" s="76"/>
      <c r="ER54" s="76"/>
      <c r="ES54" s="1" t="s">
        <v>293</v>
      </c>
      <c r="ET54" s="4" t="s">
        <v>294</v>
      </c>
      <c r="EU54" s="100">
        <f>IF(ET54="",0,COUNTIF($ET$26:$ET$114,ET54)+COUNTIF($Z$26:$Z$114,ET54)+COUNTIF($AI$26:$AI$114,ET54)+COUNTIF($AR$26:$AR$114,ET54)+COUNTIF($AY$26:$AY$114,ET54)+COUNTIF($BH$26:$BH$114,ET54)+COUNTIF($BQ$26:$BQ$114,ET54)+COUNTIF($BZ$26:$BZ$114,ET54)+COUNTIF($CI$26:$CI$114,ET54)+COUNTIF($CR$26:$CR$114,ET54)+COUNTIF($DA$26:$DA$114,ET54)+COUNTIF($DJ$26:$DJ$114,ET54)+COUNTIF($DS$26:$DS$114,ET54)+COUNTIF($EB$26:$EB$114,ET54)+COUNTIF($EK$26:$EK$114,ET54)+COUNTIF($I$69:$I$100,ET54)-1)</f>
        <v>0</v>
      </c>
      <c r="EV54" s="98"/>
    </row>
    <row r="55" spans="1:152">
      <c r="A55" s="342"/>
      <c r="B55" s="98"/>
      <c r="C55" s="55"/>
      <c r="D55" s="330"/>
      <c r="E55" s="207" t="s">
        <v>338</v>
      </c>
      <c r="F55" s="208" t="s">
        <v>44</v>
      </c>
      <c r="G55" s="250"/>
      <c r="H55" s="209" t="s">
        <v>508</v>
      </c>
      <c r="I55" s="253"/>
      <c r="J55" s="100">
        <f>IF(I55="",0,COUNTIF($ET$26:$ET$114,I55)+COUNTIF($Z$26:$Z$114,I55)+COUNTIF($AI$26:$AI$114,I55)+COUNTIF($AR$26:$AR$114,I55)+COUNTIF($AY$26:$AY$114,I55)+COUNTIF($BH$26:$BH$114,I55)+COUNTIF($BQ$26:$BQ$114,I55)+COUNTIF($BZ$26:$BZ$114,I55)+COUNTIF($CI$26:$CI$114,I55)+COUNTIF($CR$26:$CR$114,I55)+COUNTIF($DA$26:$DA$114,I55)+COUNTIF($DJ$26:$DJ$114,I55)+COUNTIF($DS$26:$DS$114,I55)+COUNTIF($EB$26:$EB$114,I55)+COUNTIF($EK$26:$EK$114,I55)+COUNTIF($I$26:$I$100,I55)+COUNTIF($Q$26:$Q$114,I55)-1)</f>
        <v>0</v>
      </c>
      <c r="K55" s="219"/>
      <c r="L55" s="330"/>
      <c r="M55" s="207" t="s">
        <v>338</v>
      </c>
      <c r="N55" s="208" t="s">
        <v>44</v>
      </c>
      <c r="O55" s="250"/>
      <c r="P55" s="209"/>
      <c r="Q55" s="253"/>
      <c r="R55" s="178">
        <f>IF(Q55="",0,COUNTIF($ET$26:$ET$114,Q55)+COUNTIF($Z$26:$Z$114,Q55)+COUNTIF($AI$26:$AI$114,Q55)+COUNTIF($AR$26:$AR$114,Q55)+COUNTIF($AY$26:$AY$114,Q55)+COUNTIF($BH$26:$BH$114,Q55)+COUNTIF($BQ$26:$BQ$114,Q55)+COUNTIF($BZ$26:$BZ$114,Q55)+COUNTIF($CI$26:$CI$114,Q55)+COUNTIF($CR$26:$CR$114,Q55)+COUNTIF($DA$26:$DA$114,Q55)+COUNTIF($DJ$26:$DJ$114,Q55)+COUNTIF($DS$26:$DS$114,Q55)+COUNTIF($EB$26:$EB$114,Q55)+COUNTIF($EK$26:$EK$114,Q55)+COUNTIF($I$26:$I$100,Q55)+COUNTIF($Q$26:$Q$114,Q55)-1)</f>
        <v>0</v>
      </c>
      <c r="S55" s="95"/>
      <c r="T55" s="98"/>
      <c r="U55" s="98"/>
      <c r="V55" s="98"/>
      <c r="W55" s="98"/>
      <c r="X55" s="98"/>
      <c r="Y55" s="98"/>
      <c r="Z55" s="98"/>
      <c r="AA55" s="98"/>
      <c r="AB55" s="98"/>
      <c r="AC55" s="98"/>
      <c r="AD55" s="98"/>
      <c r="AE55" s="98"/>
      <c r="AF55" s="98"/>
      <c r="AG55" s="98"/>
      <c r="AH55" s="98"/>
      <c r="AI55" s="98"/>
      <c r="AJ55" s="98"/>
      <c r="AK55" s="98"/>
      <c r="AL55" s="98"/>
      <c r="AM55" s="98"/>
      <c r="AN55" s="98"/>
      <c r="AO55" s="98"/>
      <c r="AP55" s="98"/>
      <c r="AQ55" s="98"/>
      <c r="AR55" s="98"/>
      <c r="AS55" s="98"/>
      <c r="AT55" s="98"/>
      <c r="AU55" s="98"/>
      <c r="AV55" s="98"/>
      <c r="AW55" s="98"/>
      <c r="AX55" s="98"/>
      <c r="AY55" s="98"/>
      <c r="AZ55" s="98"/>
      <c r="BA55" s="98"/>
      <c r="BB55" s="98"/>
      <c r="BC55" s="98"/>
      <c r="BD55" s="98"/>
      <c r="BE55" s="98"/>
      <c r="BF55" s="98"/>
      <c r="BG55" s="98"/>
      <c r="BH55" s="98"/>
      <c r="BI55" s="98"/>
      <c r="BJ55" s="98"/>
      <c r="BK55" s="98"/>
      <c r="BL55" s="98"/>
      <c r="BM55" s="98"/>
      <c r="BN55" s="98"/>
      <c r="BO55" s="98"/>
      <c r="BP55" s="98"/>
      <c r="BQ55" s="98"/>
      <c r="BR55" s="98"/>
      <c r="BS55" s="98"/>
      <c r="BT55" s="98"/>
      <c r="BU55" s="98"/>
      <c r="BV55" s="98"/>
      <c r="BW55" s="98"/>
      <c r="BX55" s="98"/>
      <c r="BY55" s="98"/>
      <c r="BZ55" s="98"/>
      <c r="CA55" s="98"/>
      <c r="CB55" s="98"/>
      <c r="CC55" s="98"/>
      <c r="CD55" s="98"/>
      <c r="CE55" s="98"/>
      <c r="CF55" s="98"/>
      <c r="CG55" s="98"/>
      <c r="CH55" s="98"/>
      <c r="CI55" s="98"/>
      <c r="CJ55" s="98"/>
      <c r="CK55" s="98"/>
      <c r="CL55" s="98"/>
      <c r="CM55" s="98"/>
      <c r="CN55" s="98"/>
      <c r="CO55" s="98"/>
      <c r="CP55" s="98"/>
      <c r="CQ55" s="98"/>
      <c r="CR55" s="98"/>
      <c r="CS55" s="98"/>
      <c r="CT55" s="98"/>
      <c r="CU55" s="98"/>
      <c r="CV55" s="98"/>
      <c r="CW55" s="98"/>
      <c r="CX55" s="98"/>
      <c r="CY55" s="98"/>
      <c r="CZ55" s="98"/>
      <c r="DA55" s="98"/>
      <c r="DB55" s="98"/>
      <c r="DC55" s="98"/>
      <c r="DD55" s="98"/>
      <c r="DE55" s="98"/>
      <c r="DF55" s="98"/>
      <c r="DG55" s="98"/>
      <c r="DH55" s="98"/>
      <c r="DI55" s="98"/>
      <c r="DJ55" s="98"/>
      <c r="DK55" s="98"/>
      <c r="DL55" s="98"/>
      <c r="DM55" s="98"/>
      <c r="DN55" s="98"/>
      <c r="DO55" s="98"/>
      <c r="DP55" s="98"/>
      <c r="DQ55" s="98"/>
      <c r="DR55" s="98"/>
      <c r="DS55" s="98"/>
      <c r="DT55" s="98"/>
      <c r="DU55" s="98"/>
      <c r="DV55" s="98"/>
      <c r="DW55" s="98"/>
      <c r="DX55" s="98"/>
      <c r="DY55" s="98"/>
      <c r="DZ55" s="98"/>
      <c r="EA55" s="98"/>
      <c r="EB55" s="98"/>
      <c r="EC55" s="98"/>
      <c r="ED55" s="98"/>
      <c r="EE55" s="98"/>
      <c r="EF55" s="98"/>
      <c r="EG55" s="98"/>
      <c r="EH55" s="98"/>
      <c r="EI55" s="98"/>
      <c r="EJ55" s="98"/>
      <c r="EK55" s="98"/>
      <c r="EL55" s="98"/>
      <c r="EM55" s="93"/>
      <c r="EN55" s="69"/>
      <c r="EO55" s="330"/>
      <c r="EP55" s="76"/>
      <c r="EQ55" s="76"/>
      <c r="ER55" s="76"/>
      <c r="ES55" s="1" t="s">
        <v>295</v>
      </c>
      <c r="ET55" s="4" t="s">
        <v>296</v>
      </c>
      <c r="EU55" s="100">
        <f>IF(ET55="",0,COUNTIF($ET$26:$ET$114,ET55)+COUNTIF($Z$26:$Z$114,ET55)+COUNTIF($AI$26:$AI$114,ET55)+COUNTIF($AR$26:$AR$114,ET55)+COUNTIF($AY$26:$AY$114,ET55)+COUNTIF($BH$26:$BH$114,ET55)+COUNTIF($BQ$26:$BQ$114,ET55)+COUNTIF($BZ$26:$BZ$114,ET55)+COUNTIF($CI$26:$CI$114,ET55)+COUNTIF($CR$26:$CR$114,ET55)+COUNTIF($DA$26:$DA$114,ET55)+COUNTIF($DJ$26:$DJ$114,ET55)+COUNTIF($DS$26:$DS$114,ET55)+COUNTIF($EB$26:$EB$114,ET55)+COUNTIF($EK$26:$EK$114,ET55)+COUNTIF($I$69:$I$100,ET55)-1)</f>
        <v>0</v>
      </c>
      <c r="EV55" s="98"/>
    </row>
    <row r="56" spans="1:152" ht="15.75" thickBot="1">
      <c r="A56" s="342"/>
      <c r="B56" s="98"/>
      <c r="C56" s="55"/>
      <c r="D56" s="330"/>
      <c r="E56" s="210" t="s">
        <v>268</v>
      </c>
      <c r="F56" s="211" t="s">
        <v>44</v>
      </c>
      <c r="G56" s="211"/>
      <c r="H56" s="212" t="s">
        <v>491</v>
      </c>
      <c r="I56" s="242" t="s">
        <v>478</v>
      </c>
      <c r="J56" s="100" t="e">
        <f>IF(#REF!="",0,COUNTIF($ET$26:$ET$114,#REF!)+COUNTIF($Z$26:$Z$114,#REF!)+COUNTIF($AI$26:$AI$114,#REF!)+COUNTIF($AR$26:$AR$114,#REF!)+COUNTIF($AY$26:$AY$114,#REF!)+COUNTIF($BH$26:$BH$114,#REF!)+COUNTIF($BQ$26:$BQ$114,#REF!)+COUNTIF($BZ$26:$BZ$114,#REF!)+COUNTIF($CI$26:$CI$114,#REF!)+COUNTIF($CR$26:$CR$114,#REF!)+COUNTIF($DA$26:$DA$114,#REF!)+COUNTIF($DJ$26:$DJ$114,#REF!)+COUNTIF($DS$26:$DS$114,#REF!)+COUNTIF($EB$26:$EB$114,#REF!)+COUNTIF($EK$26:$EK$114,#REF!)+COUNTIF($I$26:$I$100,#REF!)+COUNTIF($Q$26:$Q$114,#REF!)-1)</f>
        <v>#REF!</v>
      </c>
      <c r="K56" s="219"/>
      <c r="L56" s="330"/>
      <c r="M56" s="210" t="s">
        <v>268</v>
      </c>
      <c r="N56" s="211" t="s">
        <v>44</v>
      </c>
      <c r="O56" s="211"/>
      <c r="P56" s="212" t="s">
        <v>492</v>
      </c>
      <c r="Q56" s="242"/>
      <c r="R56" s="178">
        <f>IF(Q56="",0,COUNTIF($ET$26:$ET$114,Q56)+COUNTIF($Z$26:$Z$114,Q56)+COUNTIF($AI$26:$AI$114,Q56)+COUNTIF($AR$26:$AR$114,Q56)+COUNTIF($AY$26:$AY$114,Q56)+COUNTIF($BH$26:$BH$114,Q56)+COUNTIF($BQ$26:$BQ$114,Q56)+COUNTIF($BZ$26:$BZ$114,Q56)+COUNTIF($CI$26:$CI$114,Q56)+COUNTIF($CR$26:$CR$114,Q56)+COUNTIF($DA$26:$DA$114,Q56)+COUNTIF($DJ$26:$DJ$114,Q56)+COUNTIF($DS$26:$DS$114,Q56)+COUNTIF($EB$26:$EB$114,Q56)+COUNTIF($EK$26:$EK$114,Q56)+COUNTIF($I$26:$I$100,Q56)+COUNTIF($Q$26:$Q$114,Q56)-1)</f>
        <v>0</v>
      </c>
      <c r="S56" s="95"/>
      <c r="T56" s="98"/>
      <c r="U56" s="98"/>
      <c r="V56" s="98"/>
      <c r="W56" s="98"/>
      <c r="X56" s="98"/>
      <c r="Y56" s="98"/>
      <c r="Z56" s="98"/>
      <c r="AA56" s="98"/>
      <c r="AB56" s="98"/>
      <c r="AC56" s="98"/>
      <c r="AD56" s="98"/>
      <c r="AE56" s="98"/>
      <c r="AF56" s="98"/>
      <c r="AG56" s="98"/>
      <c r="AH56" s="98"/>
      <c r="AI56" s="98"/>
      <c r="AJ56" s="98"/>
      <c r="AK56" s="98"/>
      <c r="AL56" s="98"/>
      <c r="AM56" s="98"/>
      <c r="AN56" s="98"/>
      <c r="AO56" s="98"/>
      <c r="AP56" s="98"/>
      <c r="AQ56" s="98"/>
      <c r="AR56" s="98"/>
      <c r="AS56" s="98"/>
      <c r="AT56" s="98"/>
      <c r="AU56" s="98"/>
      <c r="AV56" s="98"/>
      <c r="AW56" s="98"/>
      <c r="AX56" s="98"/>
      <c r="AY56" s="98"/>
      <c r="AZ56" s="98"/>
      <c r="BA56" s="98"/>
      <c r="BB56" s="98"/>
      <c r="BC56" s="98"/>
      <c r="BD56" s="98"/>
      <c r="BE56" s="98"/>
      <c r="BF56" s="98"/>
      <c r="BG56" s="98"/>
      <c r="BH56" s="98"/>
      <c r="BI56" s="98"/>
      <c r="BJ56" s="98"/>
      <c r="BK56" s="98"/>
      <c r="BL56" s="98"/>
      <c r="BM56" s="98"/>
      <c r="BN56" s="98"/>
      <c r="BO56" s="98"/>
      <c r="BP56" s="98"/>
      <c r="BQ56" s="98"/>
      <c r="BR56" s="98"/>
      <c r="BS56" s="98"/>
      <c r="BT56" s="98"/>
      <c r="BU56" s="98"/>
      <c r="BV56" s="98"/>
      <c r="BW56" s="98"/>
      <c r="BX56" s="98"/>
      <c r="BY56" s="98"/>
      <c r="BZ56" s="98"/>
      <c r="CA56" s="98"/>
      <c r="CB56" s="98"/>
      <c r="CC56" s="98"/>
      <c r="CD56" s="98"/>
      <c r="CE56" s="98"/>
      <c r="CF56" s="98"/>
      <c r="CG56" s="98"/>
      <c r="CH56" s="98"/>
      <c r="CI56" s="98"/>
      <c r="CJ56" s="98"/>
      <c r="CK56" s="98"/>
      <c r="CL56" s="98"/>
      <c r="CM56" s="98"/>
      <c r="CN56" s="98"/>
      <c r="CO56" s="98"/>
      <c r="CP56" s="98"/>
      <c r="CQ56" s="98"/>
      <c r="CR56" s="98"/>
      <c r="CS56" s="98"/>
      <c r="CT56" s="98"/>
      <c r="CU56" s="98"/>
      <c r="CV56" s="98"/>
      <c r="CW56" s="98"/>
      <c r="CX56" s="98"/>
      <c r="CY56" s="98"/>
      <c r="CZ56" s="98"/>
      <c r="DA56" s="98"/>
      <c r="DB56" s="98"/>
      <c r="DC56" s="98"/>
      <c r="DD56" s="98"/>
      <c r="DE56" s="98"/>
      <c r="DF56" s="98"/>
      <c r="DG56" s="98"/>
      <c r="DH56" s="98"/>
      <c r="DI56" s="98"/>
      <c r="DJ56" s="98"/>
      <c r="DK56" s="98"/>
      <c r="DL56" s="98"/>
      <c r="DM56" s="98"/>
      <c r="DN56" s="98"/>
      <c r="DO56" s="98"/>
      <c r="DP56" s="98"/>
      <c r="DQ56" s="98"/>
      <c r="DR56" s="98"/>
      <c r="DS56" s="98"/>
      <c r="DT56" s="98"/>
      <c r="DU56" s="98"/>
      <c r="DV56" s="98"/>
      <c r="DW56" s="98"/>
      <c r="DX56" s="98"/>
      <c r="DY56" s="98"/>
      <c r="DZ56" s="98"/>
      <c r="EA56" s="98"/>
      <c r="EB56" s="98"/>
      <c r="EC56" s="98"/>
      <c r="ED56" s="98"/>
      <c r="EE56" s="98"/>
      <c r="EF56" s="98"/>
      <c r="EG56" s="98"/>
      <c r="EH56" s="98"/>
      <c r="EI56" s="98"/>
      <c r="EJ56" s="98"/>
      <c r="EK56" s="98"/>
      <c r="EL56" s="98"/>
      <c r="EM56" s="93"/>
      <c r="EN56" s="69"/>
      <c r="EO56" s="330"/>
      <c r="EP56" s="76"/>
      <c r="EQ56" s="76"/>
      <c r="ER56" s="76"/>
      <c r="ES56" s="1" t="s">
        <v>297</v>
      </c>
      <c r="ET56" s="4" t="s">
        <v>298</v>
      </c>
      <c r="EU56" s="100">
        <f>IF(ET56="",0,COUNTIF($ET$26:$ET$114,ET56)+COUNTIF($Z$26:$Z$114,ET56)+COUNTIF($AI$26:$AI$114,ET56)+COUNTIF($AR$26:$AR$114,ET56)+COUNTIF($AY$26:$AY$114,ET56)+COUNTIF($BH$26:$BH$114,ET56)+COUNTIF($BQ$26:$BQ$114,ET56)+COUNTIF($BZ$26:$BZ$114,ET56)+COUNTIF($CI$26:$CI$114,ET56)+COUNTIF($CR$26:$CR$114,ET56)+COUNTIF($DA$26:$DA$114,ET56)+COUNTIF($DJ$26:$DJ$114,ET56)+COUNTIF($DS$26:$DS$114,ET56)+COUNTIF($EB$26:$EB$114,ET56)+COUNTIF($EK$26:$EK$114,ET56)+COUNTIF($I$69:$I$100,ET56)-1)</f>
        <v>0</v>
      </c>
      <c r="EV56" s="98"/>
    </row>
    <row r="57" spans="1:152">
      <c r="A57" s="342"/>
      <c r="B57" s="98"/>
      <c r="C57" s="55"/>
      <c r="D57" s="330"/>
      <c r="E57" s="208" t="s">
        <v>270</v>
      </c>
      <c r="F57" s="208" t="s">
        <v>44</v>
      </c>
      <c r="G57" s="208"/>
      <c r="H57" s="209" t="s">
        <v>479</v>
      </c>
      <c r="I57" s="223"/>
      <c r="J57" s="178">
        <f>IF(I57="",0,COUNTIF($ET$26:$ET$114,I57)+COUNTIF($Z$26:$Z$114,I57)+COUNTIF($AI$26:$AI$114,I57)+COUNTIF($AR$26:$AR$114,I57)+COUNTIF($AY$26:$AY$114,I57)+COUNTIF($BH$26:$BH$114,I57)+COUNTIF($BQ$26:$BQ$114,I57)+COUNTIF($BZ$26:$BZ$114,I57)+COUNTIF($CI$26:$CI$114,I57)+COUNTIF($CR$26:$CR$114,I57)+COUNTIF($DA$26:$DA$114,I57)+COUNTIF($DJ$26:$DJ$114,I57)+COUNTIF($DS$26:$DS$114,I57)+COUNTIF($EB$26:$EB$114,I57)+COUNTIF($EK$26:$EK$114,I57)+COUNTIF($I$26:$I$100,I57)+COUNTIF($Q$26:$Q$114,I57)-1)</f>
        <v>0</v>
      </c>
      <c r="K57" s="219"/>
      <c r="L57" s="330"/>
      <c r="M57" s="207" t="s">
        <v>270</v>
      </c>
      <c r="N57" s="208" t="s">
        <v>44</v>
      </c>
      <c r="O57" s="208"/>
      <c r="P57" s="209" t="s">
        <v>480</v>
      </c>
      <c r="Q57" s="223"/>
      <c r="R57" s="178">
        <f>IF(Q57="",0,COUNTIF($ET$26:$ET$114,Q57)+COUNTIF($Z$26:$Z$114,Q57)+COUNTIF($AI$26:$AI$114,Q57)+COUNTIF($AR$26:$AR$114,Q57)+COUNTIF($AY$26:$AY$114,Q57)+COUNTIF($BH$26:$BH$114,Q57)+COUNTIF($BQ$26:$BQ$114,Q57)+COUNTIF($BZ$26:$BZ$114,Q57)+COUNTIF($CI$26:$CI$114,Q57)+COUNTIF($CR$26:$CR$114,Q57)+COUNTIF($DA$26:$DA$114,Q57)+COUNTIF($DJ$26:$DJ$114,Q57)+COUNTIF($DS$26:$DS$114,Q57)+COUNTIF($EB$26:$EB$114,Q57)+COUNTIF($EK$26:$EK$114,Q57)+COUNTIF($I$26:$I$100,Q57)+COUNTIF($Q$26:$Q$114,Q57)-1)</f>
        <v>0</v>
      </c>
      <c r="S57" s="95"/>
      <c r="T57" s="98"/>
      <c r="U57" s="98"/>
      <c r="V57" s="98"/>
      <c r="W57" s="98"/>
      <c r="X57" s="98"/>
      <c r="Y57" s="98"/>
      <c r="Z57" s="98"/>
      <c r="AA57" s="98"/>
      <c r="AB57" s="98"/>
      <c r="AC57" s="98"/>
      <c r="AD57" s="98"/>
      <c r="AE57" s="98"/>
      <c r="AF57" s="98"/>
      <c r="AG57" s="98"/>
      <c r="AH57" s="98"/>
      <c r="AI57" s="98"/>
      <c r="AJ57" s="98"/>
      <c r="AK57" s="98"/>
      <c r="AL57" s="98"/>
      <c r="AM57" s="98"/>
      <c r="AN57" s="98"/>
      <c r="AO57" s="98"/>
      <c r="AP57" s="98"/>
      <c r="AQ57" s="98"/>
      <c r="AR57" s="98"/>
      <c r="AS57" s="98"/>
      <c r="AT57" s="98"/>
      <c r="AU57" s="98"/>
      <c r="AV57" s="98"/>
      <c r="AW57" s="98"/>
      <c r="AX57" s="98"/>
      <c r="AY57" s="98"/>
      <c r="AZ57" s="98"/>
      <c r="BA57" s="98"/>
      <c r="BB57" s="98"/>
      <c r="BC57" s="98"/>
      <c r="BD57" s="98"/>
      <c r="BE57" s="98"/>
      <c r="BF57" s="98"/>
      <c r="BG57" s="98"/>
      <c r="BH57" s="98"/>
      <c r="BI57" s="98"/>
      <c r="BJ57" s="98"/>
      <c r="BK57" s="98"/>
      <c r="BL57" s="98"/>
      <c r="BM57" s="98"/>
      <c r="BN57" s="98"/>
      <c r="BO57" s="98"/>
      <c r="BP57" s="98"/>
      <c r="BQ57" s="98"/>
      <c r="BR57" s="98"/>
      <c r="BS57" s="98"/>
      <c r="BT57" s="98"/>
      <c r="BU57" s="98"/>
      <c r="BV57" s="98"/>
      <c r="BW57" s="98"/>
      <c r="BX57" s="98"/>
      <c r="BY57" s="98"/>
      <c r="BZ57" s="98"/>
      <c r="CA57" s="98"/>
      <c r="CB57" s="98"/>
      <c r="CC57" s="98"/>
      <c r="CD57" s="98"/>
      <c r="CE57" s="98"/>
      <c r="CF57" s="98"/>
      <c r="CG57" s="98"/>
      <c r="CH57" s="98"/>
      <c r="CI57" s="98"/>
      <c r="CJ57" s="98"/>
      <c r="CK57" s="98"/>
      <c r="CL57" s="98"/>
      <c r="CM57" s="98"/>
      <c r="CN57" s="98"/>
      <c r="CO57" s="98"/>
      <c r="CP57" s="98"/>
      <c r="CQ57" s="98"/>
      <c r="CR57" s="98"/>
      <c r="CS57" s="98"/>
      <c r="CT57" s="98"/>
      <c r="CU57" s="98"/>
      <c r="CV57" s="98"/>
      <c r="CW57" s="98"/>
      <c r="CX57" s="98"/>
      <c r="CY57" s="98"/>
      <c r="CZ57" s="98"/>
      <c r="DA57" s="98"/>
      <c r="DB57" s="98"/>
      <c r="DC57" s="98"/>
      <c r="DD57" s="98"/>
      <c r="DE57" s="98"/>
      <c r="DF57" s="98"/>
      <c r="DG57" s="98"/>
      <c r="DH57" s="98"/>
      <c r="DI57" s="98"/>
      <c r="DJ57" s="98"/>
      <c r="DK57" s="98"/>
      <c r="DL57" s="98"/>
      <c r="DM57" s="98"/>
      <c r="DN57" s="98"/>
      <c r="DO57" s="98"/>
      <c r="DP57" s="98"/>
      <c r="DQ57" s="98"/>
      <c r="DR57" s="98"/>
      <c r="DS57" s="98"/>
      <c r="DT57" s="98"/>
      <c r="DU57" s="98"/>
      <c r="DV57" s="98"/>
      <c r="DW57" s="98"/>
      <c r="DX57" s="98"/>
      <c r="DY57" s="98"/>
      <c r="DZ57" s="98"/>
      <c r="EA57" s="98"/>
      <c r="EB57" s="98"/>
      <c r="EC57" s="98"/>
      <c r="ED57" s="98"/>
      <c r="EE57" s="98"/>
      <c r="EF57" s="98"/>
      <c r="EG57" s="98"/>
      <c r="EH57" s="98"/>
      <c r="EI57" s="98"/>
      <c r="EJ57" s="98"/>
      <c r="EK57" s="98"/>
      <c r="EL57" s="98"/>
      <c r="EM57" s="93"/>
      <c r="EN57" s="69"/>
      <c r="EO57" s="330"/>
      <c r="EP57" s="76"/>
      <c r="EQ57" s="76"/>
      <c r="ER57" s="76"/>
      <c r="ES57" s="1" t="s">
        <v>299</v>
      </c>
      <c r="ET57" s="4" t="s">
        <v>300</v>
      </c>
      <c r="EU57" s="100">
        <f>IF(ET57="",0,COUNTIF($ET$26:$ET$114,ET57)+COUNTIF($Z$26:$Z$114,ET57)+COUNTIF($AI$26:$AI$114,ET57)+COUNTIF($AR$26:$AR$114,ET57)+COUNTIF($AY$26:$AY$114,ET57)+COUNTIF($BH$26:$BH$114,ET57)+COUNTIF($BQ$26:$BQ$114,ET57)+COUNTIF($BZ$26:$BZ$114,ET57)+COUNTIF($CI$26:$CI$114,ET57)+COUNTIF($CR$26:$CR$114,ET57)+COUNTIF($DA$26:$DA$114,ET57)+COUNTIF($DJ$26:$DJ$114,ET57)+COUNTIF($DS$26:$DS$114,ET57)+COUNTIF($EB$26:$EB$114,ET57)+COUNTIF($EK$26:$EK$114,ET57)+COUNTIF($I$69:$I$100,ET57)-1)</f>
        <v>0</v>
      </c>
      <c r="EV57" s="98"/>
    </row>
    <row r="58" spans="1:152" ht="15.75" thickBot="1">
      <c r="A58" s="342"/>
      <c r="B58" s="98"/>
      <c r="C58" s="55"/>
      <c r="D58" s="330"/>
      <c r="E58" s="211" t="s">
        <v>272</v>
      </c>
      <c r="F58" s="211" t="s">
        <v>44</v>
      </c>
      <c r="G58" s="211"/>
      <c r="H58" s="212" t="s">
        <v>481</v>
      </c>
      <c r="I58" s="224"/>
      <c r="J58" s="178">
        <f>IF(I58="",0,COUNTIF($ET$26:$ET$114,I58)+COUNTIF($Z$26:$Z$114,I58)+COUNTIF($AI$26:$AI$114,I58)+COUNTIF($AR$26:$AR$114,I58)+COUNTIF($AY$26:$AY$114,I58)+COUNTIF($BH$26:$BH$114,I58)+COUNTIF($BQ$26:$BQ$114,I58)+COUNTIF($BZ$26:$BZ$114,I58)+COUNTIF($CI$26:$CI$114,I58)+COUNTIF($CR$26:$CR$114,I58)+COUNTIF($DA$26:$DA$114,I58)+COUNTIF($DJ$26:$DJ$114,I58)+COUNTIF($DS$26:$DS$114,I58)+COUNTIF($EB$26:$EB$114,I58)+COUNTIF($EK$26:$EK$114,I58)+COUNTIF($I$26:$I$100,I58)+COUNTIF($Q$26:$Q$114,I58)-1)</f>
        <v>0</v>
      </c>
      <c r="K58" s="219"/>
      <c r="L58" s="331"/>
      <c r="M58" s="210" t="s">
        <v>272</v>
      </c>
      <c r="N58" s="211" t="s">
        <v>44</v>
      </c>
      <c r="O58" s="211"/>
      <c r="P58" s="212" t="s">
        <v>482</v>
      </c>
      <c r="Q58" s="224"/>
      <c r="R58" s="178">
        <f>IF(Q58="",0,COUNTIF($ET$26:$ET$114,Q58)+COUNTIF($Z$26:$Z$114,Q58)+COUNTIF($AI$26:$AI$114,Q58)+COUNTIF($AR$26:$AR$114,Q58)+COUNTIF($AY$26:$AY$114,Q58)+COUNTIF($BH$26:$BH$114,Q58)+COUNTIF($BQ$26:$BQ$114,Q58)+COUNTIF($BZ$26:$BZ$114,Q58)+COUNTIF($CI$26:$CI$114,Q58)+COUNTIF($CR$26:$CR$114,Q58)+COUNTIF($DA$26:$DA$114,Q58)+COUNTIF($DJ$26:$DJ$114,Q58)+COUNTIF($DS$26:$DS$114,Q58)+COUNTIF($EB$26:$EB$114,Q58)+COUNTIF($EK$26:$EK$114,Q58)+COUNTIF($I$26:$I$100,Q58)+COUNTIF($Q$26:$Q$114,Q58)-1)</f>
        <v>0</v>
      </c>
      <c r="S58" s="95"/>
      <c r="T58" s="98"/>
      <c r="U58" s="98"/>
      <c r="V58" s="98"/>
      <c r="W58" s="98"/>
      <c r="X58" s="98"/>
      <c r="Y58" s="98"/>
      <c r="Z58" s="98"/>
      <c r="AA58" s="98"/>
      <c r="AB58" s="98"/>
      <c r="AC58" s="98"/>
      <c r="AD58" s="98"/>
      <c r="AE58" s="98"/>
      <c r="AF58" s="98"/>
      <c r="AG58" s="98"/>
      <c r="AH58" s="98"/>
      <c r="AI58" s="98"/>
      <c r="AJ58" s="98"/>
      <c r="AK58" s="98"/>
      <c r="AL58" s="98"/>
      <c r="AM58" s="98"/>
      <c r="AN58" s="98"/>
      <c r="AO58" s="98"/>
      <c r="AP58" s="98"/>
      <c r="AQ58" s="98"/>
      <c r="AR58" s="98"/>
      <c r="AS58" s="98"/>
      <c r="AT58" s="98"/>
      <c r="AU58" s="98"/>
      <c r="AV58" s="98"/>
      <c r="AW58" s="98"/>
      <c r="AX58" s="98"/>
      <c r="AY58" s="98"/>
      <c r="AZ58" s="98"/>
      <c r="BA58" s="98"/>
      <c r="BB58" s="98"/>
      <c r="BC58" s="98"/>
      <c r="BD58" s="98"/>
      <c r="BE58" s="98"/>
      <c r="BF58" s="98"/>
      <c r="BG58" s="98"/>
      <c r="BH58" s="98"/>
      <c r="BI58" s="98"/>
      <c r="BJ58" s="98"/>
      <c r="BK58" s="98"/>
      <c r="BL58" s="98"/>
      <c r="BM58" s="98"/>
      <c r="BN58" s="98"/>
      <c r="BO58" s="98"/>
      <c r="BP58" s="98"/>
      <c r="BQ58" s="98"/>
      <c r="BR58" s="98"/>
      <c r="BS58" s="98"/>
      <c r="BT58" s="98"/>
      <c r="BU58" s="98"/>
      <c r="BV58" s="98"/>
      <c r="BW58" s="98"/>
      <c r="BX58" s="98"/>
      <c r="BY58" s="98"/>
      <c r="BZ58" s="98"/>
      <c r="CA58" s="98"/>
      <c r="CB58" s="98"/>
      <c r="CC58" s="98"/>
      <c r="CD58" s="98"/>
      <c r="CE58" s="98"/>
      <c r="CF58" s="98"/>
      <c r="CG58" s="98"/>
      <c r="CH58" s="98"/>
      <c r="CI58" s="98"/>
      <c r="CJ58" s="98"/>
      <c r="CK58" s="98"/>
      <c r="CL58" s="98"/>
      <c r="CM58" s="98"/>
      <c r="CN58" s="98"/>
      <c r="CO58" s="98"/>
      <c r="CP58" s="98"/>
      <c r="CQ58" s="98"/>
      <c r="CR58" s="98"/>
      <c r="CS58" s="98"/>
      <c r="CT58" s="98"/>
      <c r="CU58" s="98"/>
      <c r="CV58" s="98"/>
      <c r="CW58" s="98"/>
      <c r="CX58" s="98"/>
      <c r="CY58" s="98"/>
      <c r="CZ58" s="98"/>
      <c r="DA58" s="98"/>
      <c r="DB58" s="98"/>
      <c r="DC58" s="98"/>
      <c r="DD58" s="98"/>
      <c r="DE58" s="98"/>
      <c r="DF58" s="98"/>
      <c r="DG58" s="98"/>
      <c r="DH58" s="98"/>
      <c r="DI58" s="98"/>
      <c r="DJ58" s="98"/>
      <c r="DK58" s="98"/>
      <c r="DL58" s="98"/>
      <c r="DM58" s="98"/>
      <c r="DN58" s="98"/>
      <c r="DO58" s="98"/>
      <c r="DP58" s="98"/>
      <c r="DQ58" s="98"/>
      <c r="DR58" s="98"/>
      <c r="DS58" s="98"/>
      <c r="DT58" s="98"/>
      <c r="DU58" s="98"/>
      <c r="DV58" s="98"/>
      <c r="DW58" s="98"/>
      <c r="DX58" s="98"/>
      <c r="DY58" s="98"/>
      <c r="DZ58" s="98"/>
      <c r="EA58" s="98"/>
      <c r="EB58" s="98"/>
      <c r="EC58" s="98"/>
      <c r="ED58" s="98"/>
      <c r="EE58" s="98"/>
      <c r="EF58" s="98"/>
      <c r="EG58" s="98"/>
      <c r="EH58" s="98"/>
      <c r="EI58" s="98"/>
      <c r="EJ58" s="98"/>
      <c r="EK58" s="98"/>
      <c r="EL58" s="98"/>
      <c r="EM58" s="93"/>
      <c r="EN58" s="165"/>
      <c r="EO58" s="331"/>
      <c r="EP58" s="87"/>
      <c r="EQ58" s="87"/>
      <c r="ER58" s="87"/>
      <c r="ES58" s="17" t="s">
        <v>301</v>
      </c>
      <c r="ET58" s="18" t="s">
        <v>302</v>
      </c>
      <c r="EU58" s="166">
        <f>IF(ET58="",0,COUNTIF($ET$26:$ET$114,ET58)+COUNTIF($Z$26:$Z$114,ET58)+COUNTIF($AI$26:$AI$114,ET58)+COUNTIF($AR$26:$AR$114,ET58)+COUNTIF($AY$26:$AY$114,ET58)+COUNTIF($BH$26:$BH$114,ET58)+COUNTIF($BQ$26:$BQ$114,ET58)+COUNTIF($BZ$26:$BZ$114,ET58)+COUNTIF($CI$26:$CI$114,ET58)+COUNTIF($CR$26:$CR$114,ET58)+COUNTIF($DA$26:$DA$114,ET58)+COUNTIF($DJ$26:$DJ$114,ET58)+COUNTIF($DS$26:$DS$114,ET58)+COUNTIF($EB$26:$EB$114,ET58)+COUNTIF($EK$26:$EK$114,ET58)+COUNTIF($I$69:$I$100,ET58)-1)</f>
        <v>0</v>
      </c>
      <c r="EV58" s="98"/>
    </row>
    <row r="59" spans="1:152" ht="15.75" thickBot="1">
      <c r="A59" s="342"/>
      <c r="B59" s="98"/>
      <c r="C59" s="55"/>
      <c r="D59" s="330"/>
      <c r="E59" s="76"/>
      <c r="F59" s="76">
        <v>10</v>
      </c>
      <c r="G59" s="76">
        <v>1</v>
      </c>
      <c r="H59" s="1" t="s">
        <v>289</v>
      </c>
      <c r="I59" s="75" t="str">
        <f>IF(G59=99,"", CONCATENATE("10.0.",TEXT(((BITWISE_AND('IP Address (no mod)'!$D$20,H$22)/4)+G59*8),"0"),".",TEXT((BITWISE_AND('IP Address (no mod)'!$D$21,H$22)*64)+D$39*10+F59,"0")))</f>
        <v>10.0.8.74</v>
      </c>
      <c r="J59" s="178">
        <f>IF(I59="",0,COUNTIF($ET$26:$ET$114,I59)+COUNTIF($Z$26:$Z$114,I59)+COUNTIF($AI$26:$AI$114,I59)+COUNTIF($AR$26:$AR$114,I59)+COUNTIF($AY$26:$AY$114,I59)+COUNTIF($BH$26:$BH$114,I59)+COUNTIF($BQ$26:$BQ$114,I59)+COUNTIF($BZ$26:$BZ$114,I59)+COUNTIF($CI$26:$CI$114,I59)+COUNTIF($CR$26:$CR$114,I59)+COUNTIF($DA$26:$DA$114,I59)+COUNTIF($DJ$26:$DJ$114,I59)+COUNTIF($DS$26:$DS$114,I59)+COUNTIF($EB$26:$EB$114,I59)+COUNTIF($EK$26:$EK$114,I59)+COUNTIF($I$26:$I$100,I59)+COUNTIF($Q$26:$Q$114,I59)-1)</f>
        <v>0</v>
      </c>
      <c r="K59" s="63"/>
      <c r="L59" s="65"/>
      <c r="M59" s="65"/>
      <c r="N59" s="65"/>
      <c r="O59" s="65"/>
      <c r="P59" s="65"/>
      <c r="Q59" s="65"/>
      <c r="R59" s="3"/>
      <c r="S59" s="95"/>
      <c r="T59" s="214"/>
      <c r="U59" s="214"/>
      <c r="V59" s="214"/>
      <c r="W59" s="214"/>
      <c r="X59" s="214"/>
      <c r="Y59" s="214"/>
      <c r="Z59" s="214"/>
      <c r="AA59" s="214"/>
      <c r="AB59" s="214"/>
      <c r="AC59" s="214"/>
      <c r="AD59" s="214"/>
      <c r="AE59" s="214"/>
      <c r="AF59" s="214"/>
      <c r="AG59" s="214"/>
      <c r="AH59" s="214"/>
      <c r="AI59" s="214"/>
      <c r="AJ59" s="214"/>
      <c r="AK59" s="214"/>
      <c r="AL59" s="214"/>
      <c r="AM59" s="214"/>
      <c r="AN59" s="214"/>
      <c r="AO59" s="214"/>
      <c r="AP59" s="214"/>
      <c r="AQ59" s="214"/>
      <c r="AR59" s="214"/>
      <c r="AS59" s="214"/>
      <c r="AT59" s="214"/>
      <c r="AU59" s="214"/>
      <c r="AV59" s="214"/>
      <c r="AW59" s="214"/>
      <c r="AX59" s="214"/>
      <c r="AY59" s="214"/>
      <c r="AZ59" s="214"/>
      <c r="BA59" s="214"/>
      <c r="BB59" s="214"/>
      <c r="BC59" s="214"/>
      <c r="BD59" s="214"/>
      <c r="BE59" s="214"/>
      <c r="BF59" s="214"/>
      <c r="BG59" s="214"/>
      <c r="BH59" s="214"/>
      <c r="BI59" s="214"/>
      <c r="BJ59" s="214"/>
      <c r="BK59" s="214"/>
      <c r="BL59" s="214"/>
      <c r="BM59" s="214"/>
      <c r="BN59" s="214"/>
      <c r="BO59" s="214"/>
      <c r="BP59" s="214"/>
      <c r="BQ59" s="214"/>
      <c r="BR59" s="214"/>
      <c r="BS59" s="214"/>
      <c r="BT59" s="215"/>
      <c r="BU59" s="215"/>
      <c r="BV59" s="215"/>
      <c r="BW59" s="215"/>
      <c r="BX59" s="215"/>
      <c r="BY59" s="215"/>
      <c r="BZ59" s="215"/>
      <c r="CA59" s="215"/>
      <c r="CB59" s="215"/>
      <c r="CC59" s="215"/>
      <c r="CD59" s="215"/>
      <c r="CE59" s="215"/>
      <c r="CF59" s="215"/>
      <c r="CG59" s="215"/>
      <c r="CH59" s="215"/>
      <c r="CI59" s="215"/>
      <c r="CJ59" s="215"/>
      <c r="CK59" s="215"/>
      <c r="CL59" s="215"/>
      <c r="CM59" s="215"/>
      <c r="CN59" s="215"/>
      <c r="CO59" s="215"/>
      <c r="CP59" s="215"/>
      <c r="CQ59" s="215"/>
      <c r="CR59" s="215"/>
      <c r="CS59" s="215"/>
      <c r="CT59" s="215"/>
      <c r="CU59" s="215"/>
      <c r="CV59" s="215"/>
      <c r="CW59" s="215"/>
      <c r="CX59" s="215"/>
      <c r="CY59" s="215"/>
      <c r="CZ59" s="215"/>
      <c r="DA59" s="215"/>
      <c r="DB59" s="215"/>
      <c r="DC59" s="215"/>
      <c r="DD59" s="215"/>
      <c r="DE59" s="215"/>
      <c r="DF59" s="215"/>
      <c r="DG59" s="215"/>
      <c r="DH59" s="215"/>
      <c r="DI59" s="215"/>
      <c r="DJ59" s="215"/>
      <c r="DK59" s="215"/>
      <c r="DL59" s="215"/>
      <c r="DM59" s="215"/>
      <c r="DN59" s="215"/>
      <c r="DO59" s="215"/>
      <c r="DP59" s="215"/>
      <c r="DQ59" s="215"/>
      <c r="DR59" s="215"/>
      <c r="DS59" s="215"/>
      <c r="DT59" s="215"/>
      <c r="DU59" s="215"/>
      <c r="DV59" s="215"/>
      <c r="DW59" s="215"/>
      <c r="DX59" s="215"/>
      <c r="DY59" s="215"/>
      <c r="DZ59" s="215"/>
      <c r="EA59" s="215"/>
      <c r="EB59" s="215"/>
      <c r="EC59" s="215"/>
      <c r="ED59" s="215"/>
      <c r="EE59" s="215"/>
      <c r="EF59" s="215"/>
      <c r="EG59" s="215"/>
      <c r="EH59" s="215"/>
      <c r="EI59" s="215"/>
      <c r="EJ59" s="215"/>
      <c r="EK59" s="215"/>
      <c r="EL59" s="215"/>
      <c r="EM59" s="215"/>
      <c r="EN59" s="216"/>
      <c r="EO59" s="214"/>
      <c r="EP59" s="214"/>
      <c r="EQ59" s="214"/>
      <c r="ER59" s="214"/>
      <c r="ES59" s="214"/>
      <c r="ET59" s="214"/>
      <c r="EU59" s="214"/>
      <c r="EV59" s="214"/>
    </row>
    <row r="60" spans="1:152" ht="15.75" thickTop="1">
      <c r="A60" s="342"/>
      <c r="B60" s="98"/>
      <c r="C60" s="55"/>
      <c r="D60" s="330"/>
      <c r="E60" s="76"/>
      <c r="F60" s="76">
        <v>10</v>
      </c>
      <c r="G60" s="76">
        <v>2</v>
      </c>
      <c r="H60" s="1" t="s">
        <v>290</v>
      </c>
      <c r="I60" s="75" t="str">
        <f>IF(G60=99,"", CONCATENATE("10.0.",TEXT(((BITWISE_AND('IP Address (no mod)'!$D$20,H$22)/4)+G60*8),"0"),".",TEXT((BITWISE_AND('IP Address (no mod)'!$D$21,H$22)*64)+D$39*10+F60,"0")))</f>
        <v>10.0.16.74</v>
      </c>
      <c r="J60" s="178">
        <f>IF(I60="",0,COUNTIF($ET$26:$ET$114,I60)+COUNTIF($Z$26:$Z$114,I60)+COUNTIF($AI$26:$AI$114,I60)+COUNTIF($AR$26:$AR$114,I60)+COUNTIF($AY$26:$AY$114,I60)+COUNTIF($BH$26:$BH$114,I60)+COUNTIF($BQ$26:$BQ$114,I60)+COUNTIF($BZ$26:$BZ$114,I60)+COUNTIF($CI$26:$CI$114,I60)+COUNTIF($CR$26:$CR$114,I60)+COUNTIF($DA$26:$DA$114,I60)+COUNTIF($DJ$26:$DJ$114,I60)+COUNTIF($DS$26:$DS$114,I60)+COUNTIF($EB$26:$EB$114,I60)+COUNTIF($EK$26:$EK$114,I60)+COUNTIF($I$26:$I$100,I60)+COUNTIF($Q$26:$Q$114,I60)-1)</f>
        <v>0</v>
      </c>
      <c r="K60" s="63"/>
      <c r="L60" s="1"/>
      <c r="M60" s="1"/>
      <c r="N60" s="1"/>
      <c r="O60" s="1"/>
      <c r="P60" s="1"/>
      <c r="Q60" s="1"/>
      <c r="R60" s="4"/>
      <c r="S60" s="95"/>
    </row>
    <row r="61" spans="1:152" ht="15.75" customHeight="1">
      <c r="A61" s="342"/>
      <c r="B61" s="98"/>
      <c r="C61" s="55"/>
      <c r="D61" s="330"/>
      <c r="E61" s="76"/>
      <c r="F61" s="76">
        <v>10</v>
      </c>
      <c r="G61" s="76">
        <v>3</v>
      </c>
      <c r="H61" s="1" t="s">
        <v>291</v>
      </c>
      <c r="I61" s="75" t="str">
        <f>IF(G61=99,"", CONCATENATE("10.0.",TEXT(((BITWISE_AND('IP Address (no mod)'!$D$20,H$22)/4)+G61*8),"0"),".",TEXT((BITWISE_AND('IP Address (no mod)'!$D$21,H$22)*64)+D$39*10+F61,"0")))</f>
        <v>10.0.24.74</v>
      </c>
      <c r="J61" s="178">
        <f>IF(I61="",0,COUNTIF($ET$26:$ET$114,I61)+COUNTIF($Z$26:$Z$114,I61)+COUNTIF($AI$26:$AI$114,I61)+COUNTIF($AR$26:$AR$114,I61)+COUNTIF($AY$26:$AY$114,I61)+COUNTIF($BH$26:$BH$114,I61)+COUNTIF($BQ$26:$BQ$114,I61)+COUNTIF($BZ$26:$BZ$114,I61)+COUNTIF($CI$26:$CI$114,I61)+COUNTIF($CR$26:$CR$114,I61)+COUNTIF($DA$26:$DA$114,I61)+COUNTIF($DJ$26:$DJ$114,I61)+COUNTIF($DS$26:$DS$114,I61)+COUNTIF($EB$26:$EB$114,I61)+COUNTIF($EK$26:$EK$114,I61)+COUNTIF($I$26:$I$100,I61)+COUNTIF($Q$26:$Q$114,I61)-1)</f>
        <v>0</v>
      </c>
      <c r="K61" s="63"/>
      <c r="L61" s="1"/>
      <c r="M61" s="1"/>
      <c r="N61" s="1"/>
      <c r="O61" s="1"/>
      <c r="P61" s="1"/>
      <c r="Q61" s="1"/>
      <c r="R61" s="4"/>
      <c r="S61" s="95"/>
    </row>
    <row r="62" spans="1:152">
      <c r="A62" s="342"/>
      <c r="B62" s="98"/>
      <c r="C62" s="55"/>
      <c r="D62" s="330"/>
      <c r="E62" s="76"/>
      <c r="F62" s="76">
        <v>10</v>
      </c>
      <c r="G62" s="76">
        <v>4</v>
      </c>
      <c r="H62" s="1" t="s">
        <v>292</v>
      </c>
      <c r="I62" s="75" t="str">
        <f>IF(G62=99,"", CONCATENATE("10.0.",TEXT(((BITWISE_AND('IP Address (no mod)'!$D$20,H$22)/4)+G62*8),"0"),".",TEXT((BITWISE_AND('IP Address (no mod)'!$D$21,H$22)*64)+D$39*10+F62,"0")))</f>
        <v>10.0.32.74</v>
      </c>
      <c r="J62" s="178">
        <f>IF(I62="",0,COUNTIF($ET$26:$ET$114,I62)+COUNTIF($Z$26:$Z$114,I62)+COUNTIF($AI$26:$AI$114,I62)+COUNTIF($AR$26:$AR$114,I62)+COUNTIF($AY$26:$AY$114,I62)+COUNTIF($BH$26:$BH$114,I62)+COUNTIF($BQ$26:$BQ$114,I62)+COUNTIF($BZ$26:$BZ$114,I62)+COUNTIF($CI$26:$CI$114,I62)+COUNTIF($CR$26:$CR$114,I62)+COUNTIF($DA$26:$DA$114,I62)+COUNTIF($DJ$26:$DJ$114,I62)+COUNTIF($DS$26:$DS$114,I62)+COUNTIF($EB$26:$EB$114,I62)+COUNTIF($EK$26:$EK$114,I62)+COUNTIF($I$26:$I$100,I62)+COUNTIF($Q$26:$Q$114,I62)-1)</f>
        <v>0</v>
      </c>
      <c r="K62" s="63"/>
      <c r="L62" s="1"/>
      <c r="M62" s="1"/>
      <c r="N62" s="1"/>
      <c r="O62" s="1"/>
      <c r="P62" s="1"/>
      <c r="Q62" s="1"/>
      <c r="R62" s="4"/>
      <c r="S62" s="95"/>
    </row>
    <row r="63" spans="1:152">
      <c r="A63" s="342"/>
      <c r="B63" s="98"/>
      <c r="C63" s="55"/>
      <c r="D63" s="330"/>
      <c r="E63" s="76"/>
      <c r="F63" s="76"/>
      <c r="G63" s="76"/>
      <c r="H63" s="1" t="s">
        <v>293</v>
      </c>
      <c r="I63" s="73" t="s">
        <v>294</v>
      </c>
      <c r="J63" s="178">
        <f>IF(I63="",0,COUNTIF($ET$26:$ET$114,I63)+COUNTIF($Z$26:$Z$114,I63)+COUNTIF($AI$26:$AI$114,I63)+COUNTIF($AR$26:$AR$114,I63)+COUNTIF($AY$26:$AY$114,I63)+COUNTIF($BH$26:$BH$114,I63)+COUNTIF($BQ$26:$BQ$114,I63)+COUNTIF($BZ$26:$BZ$114,I63)+COUNTIF($CI$26:$CI$114,I63)+COUNTIF($CR$26:$CR$114,I63)+COUNTIF($DA$26:$DA$114,I63)+COUNTIF($DJ$26:$DJ$114,I63)+COUNTIF($DS$26:$DS$114,I63)+COUNTIF($EB$26:$EB$114,I63)+COUNTIF($EK$26:$EK$114,I63)+COUNTIF($I$26:$I$100,I63)+COUNTIF($Q$26:$Q$114,I63)-1)</f>
        <v>1</v>
      </c>
      <c r="K63" s="63"/>
      <c r="L63" s="1"/>
      <c r="M63" s="1"/>
      <c r="N63" s="1"/>
      <c r="O63" s="1"/>
      <c r="P63" s="1"/>
      <c r="Q63" s="1"/>
      <c r="R63" s="4"/>
      <c r="S63" s="95"/>
    </row>
    <row r="64" spans="1:152">
      <c r="A64" s="342"/>
      <c r="B64" s="98"/>
      <c r="C64" s="55"/>
      <c r="D64" s="330"/>
      <c r="E64" s="76"/>
      <c r="F64" s="76"/>
      <c r="G64" s="76"/>
      <c r="H64" s="1" t="s">
        <v>295</v>
      </c>
      <c r="I64" s="73" t="s">
        <v>296</v>
      </c>
      <c r="J64" s="178">
        <f>IF(I64="",0,COUNTIF($ET$26:$ET$114,I64)+COUNTIF($Z$26:$Z$114,I64)+COUNTIF($AI$26:$AI$114,I64)+COUNTIF($AR$26:$AR$114,I64)+COUNTIF($AY$26:$AY$114,I64)+COUNTIF($BH$26:$BH$114,I64)+COUNTIF($BQ$26:$BQ$114,I64)+COUNTIF($BZ$26:$BZ$114,I64)+COUNTIF($CI$26:$CI$114,I64)+COUNTIF($CR$26:$CR$114,I64)+COUNTIF($DA$26:$DA$114,I64)+COUNTIF($DJ$26:$DJ$114,I64)+COUNTIF($DS$26:$DS$114,I64)+COUNTIF($EB$26:$EB$114,I64)+COUNTIF($EK$26:$EK$114,I64)+COUNTIF($I$26:$I$100,I64)+COUNTIF($Q$26:$Q$114,I64)-1)</f>
        <v>1</v>
      </c>
      <c r="K64" s="63"/>
      <c r="L64" s="1"/>
      <c r="M64" s="1"/>
      <c r="N64" s="1"/>
      <c r="O64" s="1"/>
      <c r="P64" s="1"/>
      <c r="Q64" s="1"/>
      <c r="R64" s="4"/>
      <c r="S64" s="95"/>
    </row>
    <row r="65" spans="1:44">
      <c r="A65" s="342"/>
      <c r="B65" s="98"/>
      <c r="C65" s="55"/>
      <c r="D65" s="330"/>
      <c r="E65" s="76"/>
      <c r="F65" s="76"/>
      <c r="G65" s="76"/>
      <c r="H65" s="1" t="s">
        <v>297</v>
      </c>
      <c r="I65" s="73" t="s">
        <v>298</v>
      </c>
      <c r="J65" s="178">
        <f>IF(I65="",0,COUNTIF($ET$26:$ET$114,I65)+COUNTIF($Z$26:$Z$114,I65)+COUNTIF($AI$26:$AI$114,I65)+COUNTIF($AR$26:$AR$114,I65)+COUNTIF($AY$26:$AY$114,I65)+COUNTIF($BH$26:$BH$114,I65)+COUNTIF($BQ$26:$BQ$114,I65)+COUNTIF($BZ$26:$BZ$114,I65)+COUNTIF($CI$26:$CI$114,I65)+COUNTIF($CR$26:$CR$114,I65)+COUNTIF($DA$26:$DA$114,I65)+COUNTIF($DJ$26:$DJ$114,I65)+COUNTIF($DS$26:$DS$114,I65)+COUNTIF($EB$26:$EB$114,I65)+COUNTIF($EK$26:$EK$114,I65)+COUNTIF($I$26:$I$100,I65)+COUNTIF($Q$26:$Q$114,I65)-1)</f>
        <v>1</v>
      </c>
      <c r="K65" s="63"/>
      <c r="L65" s="1"/>
      <c r="M65" s="1"/>
      <c r="N65" s="1"/>
      <c r="O65" s="1"/>
      <c r="P65" s="1"/>
      <c r="Q65" s="1"/>
      <c r="R65" s="4"/>
      <c r="S65" s="95"/>
    </row>
    <row r="66" spans="1:44">
      <c r="A66" s="342"/>
      <c r="B66" s="98"/>
      <c r="C66" s="55"/>
      <c r="D66" s="330"/>
      <c r="E66" s="76"/>
      <c r="F66" s="76"/>
      <c r="G66" s="76"/>
      <c r="H66" s="1" t="s">
        <v>299</v>
      </c>
      <c r="I66" s="73" t="s">
        <v>300</v>
      </c>
      <c r="J66" s="178">
        <f>IF(I66="",0,COUNTIF($ET$26:$ET$114,I66)+COUNTIF($Z$26:$Z$114,I66)+COUNTIF($AI$26:$AI$114,I66)+COUNTIF($AR$26:$AR$114,I66)+COUNTIF($AY$26:$AY$114,I66)+COUNTIF($BH$26:$BH$114,I66)+COUNTIF($BQ$26:$BQ$114,I66)+COUNTIF($BZ$26:$BZ$114,I66)+COUNTIF($CI$26:$CI$114,I66)+COUNTIF($CR$26:$CR$114,I66)+COUNTIF($DA$26:$DA$114,I66)+COUNTIF($DJ$26:$DJ$114,I66)+COUNTIF($DS$26:$DS$114,I66)+COUNTIF($EB$26:$EB$114,I66)+COUNTIF($EK$26:$EK$114,I66)+COUNTIF($I$26:$I$100,I66)+COUNTIF($Q$26:$Q$114,I66)-1)</f>
        <v>1</v>
      </c>
      <c r="K66" s="63"/>
      <c r="L66" s="1"/>
      <c r="M66" s="1"/>
      <c r="N66" s="1"/>
      <c r="O66" s="1"/>
      <c r="P66" s="1"/>
      <c r="Q66" s="1"/>
      <c r="R66" s="4"/>
      <c r="S66" s="95"/>
    </row>
    <row r="67" spans="1:44" ht="14.45" customHeight="1" thickBot="1">
      <c r="A67" s="342"/>
      <c r="B67" s="98"/>
      <c r="C67" s="165"/>
      <c r="D67" s="331"/>
      <c r="E67" s="87"/>
      <c r="F67" s="87"/>
      <c r="G67" s="87"/>
      <c r="H67" s="17" t="s">
        <v>301</v>
      </c>
      <c r="I67" s="230" t="s">
        <v>302</v>
      </c>
      <c r="J67" s="166">
        <f>IF(I67="",0,COUNTIF($ET$26:$ET$114,I67)+COUNTIF($Z$26:$Z$114,I67)+COUNTIF($AI$26:$AI$114,I67)+COUNTIF($AR$26:$AR$114,I67)+COUNTIF($AY$26:$AY$114,I67)+COUNTIF($BH$26:$BH$114,I67)+COUNTIF($BQ$26:$BQ$114,I67)+COUNTIF($BZ$26:$BZ$114,I67)+COUNTIF($CI$26:$CI$114,I67)+COUNTIF($CR$26:$CR$114,I67)+COUNTIF($DA$26:$DA$114,I67)+COUNTIF($DJ$26:$DJ$114,I67)+COUNTIF($DS$26:$DS$114,I67)+COUNTIF($EB$26:$EB$114,I67)+COUNTIF($EK$26:$EK$114,I67)+COUNTIF($I$26:$I$100,I67)+COUNTIF($Q$26:$Q$114,I67)-1)</f>
        <v>1</v>
      </c>
      <c r="K67" s="87"/>
      <c r="L67" s="17"/>
      <c r="M67" s="17"/>
      <c r="N67" s="17"/>
      <c r="O67" s="17"/>
      <c r="P67" s="17"/>
      <c r="Q67" s="17"/>
      <c r="R67" s="18"/>
      <c r="S67" s="95"/>
    </row>
    <row r="68" spans="1:44" ht="15.75" customHeight="1" thickBot="1">
      <c r="A68" s="343"/>
      <c r="B68" s="90"/>
      <c r="C68" s="90"/>
      <c r="D68" s="90"/>
      <c r="E68" s="90"/>
      <c r="F68" s="90"/>
      <c r="G68" s="90"/>
      <c r="H68" s="90"/>
      <c r="I68" s="90"/>
      <c r="J68" s="90"/>
      <c r="K68" s="90"/>
      <c r="L68" s="90"/>
      <c r="M68" s="90"/>
      <c r="N68" s="90"/>
      <c r="O68" s="90"/>
      <c r="P68" s="90"/>
      <c r="Q68" s="90"/>
      <c r="R68" s="90"/>
      <c r="S68" s="91"/>
    </row>
    <row r="75" spans="1:44"/>
    <row r="80" spans="1:44" ht="14.45" customHeight="1"/>
    <row r="81" spans="6:44" ht="15" customHeight="1"/>
    <row r="88" spans="6:44"/>
    <row r="89" spans="6:44"/>
    <row r="119" ht="15" customHeight="1"/>
  </sheetData>
  <mergeCells count="27">
    <mergeCell ref="D45:D67"/>
    <mergeCell ref="D22:G22"/>
    <mergeCell ref="C23:R23"/>
    <mergeCell ref="L45:L58"/>
    <mergeCell ref="L27:L40"/>
    <mergeCell ref="D27:D40"/>
    <mergeCell ref="EN23:ET23"/>
    <mergeCell ref="T23:AA23"/>
    <mergeCell ref="AL23:AZ23"/>
    <mergeCell ref="BB23:BI23"/>
    <mergeCell ref="BK23:BR23"/>
    <mergeCell ref="BL22:BO22"/>
    <mergeCell ref="EO22:ER22"/>
    <mergeCell ref="U22:X22"/>
    <mergeCell ref="AM22:AP22"/>
    <mergeCell ref="BC22:BF22"/>
    <mergeCell ref="EO27:EO36"/>
    <mergeCell ref="U27:U36"/>
    <mergeCell ref="AM27:AM36"/>
    <mergeCell ref="AT27:AT41"/>
    <mergeCell ref="BC27:BC36"/>
    <mergeCell ref="BL27:BL36"/>
    <mergeCell ref="EO40:EO58"/>
    <mergeCell ref="U40:U49"/>
    <mergeCell ref="AM40:AM49"/>
    <mergeCell ref="BC40:BC49"/>
    <mergeCell ref="BL40:BL49"/>
  </mergeCells>
  <conditionalFormatting sqref="EU26 EU40:EU58">
    <cfRule type="cellIs" dxfId="255" priority="303" operator="greaterThan">
      <formula>0</formula>
    </cfRule>
    <cfRule type="cellIs" dxfId="254" priority="304" operator="equal">
      <formula>0</formula>
    </cfRule>
  </conditionalFormatting>
  <conditionalFormatting sqref="EU39">
    <cfRule type="cellIs" dxfId="253" priority="301" operator="greaterThan">
      <formula>0</formula>
    </cfRule>
    <cfRule type="cellIs" dxfId="252" priority="302" operator="equal">
      <formula>0</formula>
    </cfRule>
  </conditionalFormatting>
  <conditionalFormatting sqref="AA26">
    <cfRule type="cellIs" dxfId="251" priority="299" operator="greaterThan">
      <formula>0</formula>
    </cfRule>
    <cfRule type="cellIs" dxfId="250" priority="300" operator="equal">
      <formula>0</formula>
    </cfRule>
  </conditionalFormatting>
  <conditionalFormatting sqref="AA39">
    <cfRule type="cellIs" dxfId="249" priority="297" operator="greaterThan">
      <formula>0</formula>
    </cfRule>
    <cfRule type="cellIs" dxfId="248" priority="298" operator="equal">
      <formula>0</formula>
    </cfRule>
  </conditionalFormatting>
  <conditionalFormatting sqref="AS26">
    <cfRule type="cellIs" dxfId="243" priority="291" operator="greaterThan">
      <formula>0</formula>
    </cfRule>
    <cfRule type="cellIs" dxfId="242" priority="292" operator="equal">
      <formula>0</formula>
    </cfRule>
  </conditionalFormatting>
  <conditionalFormatting sqref="AS39">
    <cfRule type="cellIs" dxfId="241" priority="289" operator="greaterThan">
      <formula>0</formula>
    </cfRule>
    <cfRule type="cellIs" dxfId="240" priority="290" operator="equal">
      <formula>0</formula>
    </cfRule>
  </conditionalFormatting>
  <conditionalFormatting sqref="AZ26">
    <cfRule type="cellIs" dxfId="239" priority="287" operator="greaterThan">
      <formula>0</formula>
    </cfRule>
    <cfRule type="cellIs" dxfId="238" priority="288" operator="equal">
      <formula>0</formula>
    </cfRule>
  </conditionalFormatting>
  <conditionalFormatting sqref="EU27:EU34 EU36">
    <cfRule type="cellIs" dxfId="221" priority="265" operator="greaterThan">
      <formula>0</formula>
    </cfRule>
    <cfRule type="cellIs" dxfId="220" priority="266" operator="equal">
      <formula>0</formula>
    </cfRule>
  </conditionalFormatting>
  <conditionalFormatting sqref="EU35">
    <cfRule type="cellIs" dxfId="219" priority="263" operator="greaterThan">
      <formula>0</formula>
    </cfRule>
    <cfRule type="cellIs" dxfId="218" priority="264" operator="equal">
      <formula>0</formula>
    </cfRule>
  </conditionalFormatting>
  <conditionalFormatting sqref="AA27:AA36">
    <cfRule type="cellIs" dxfId="217" priority="261" operator="greaterThan">
      <formula>0</formula>
    </cfRule>
    <cfRule type="cellIs" dxfId="216" priority="262" operator="equal">
      <formula>0</formula>
    </cfRule>
  </conditionalFormatting>
  <conditionalFormatting sqref="AA40:AA49">
    <cfRule type="cellIs" dxfId="215" priority="259" operator="greaterThan">
      <formula>0</formula>
    </cfRule>
    <cfRule type="cellIs" dxfId="214" priority="260" operator="equal">
      <formula>0</formula>
    </cfRule>
  </conditionalFormatting>
  <conditionalFormatting sqref="BR26">
    <cfRule type="cellIs" dxfId="213" priority="257" operator="greaterThan">
      <formula>0</formula>
    </cfRule>
    <cfRule type="cellIs" dxfId="212" priority="258" operator="equal">
      <formula>0</formula>
    </cfRule>
  </conditionalFormatting>
  <conditionalFormatting sqref="BR39">
    <cfRule type="cellIs" dxfId="211" priority="255" operator="greaterThan">
      <formula>0</formula>
    </cfRule>
    <cfRule type="cellIs" dxfId="210" priority="256" operator="equal">
      <formula>0</formula>
    </cfRule>
  </conditionalFormatting>
  <conditionalFormatting sqref="BR27:BR36">
    <cfRule type="cellIs" dxfId="209" priority="253" operator="greaterThan">
      <formula>0</formula>
    </cfRule>
    <cfRule type="cellIs" dxfId="208" priority="254" operator="equal">
      <formula>0</formula>
    </cfRule>
  </conditionalFormatting>
  <conditionalFormatting sqref="BR40:BR49">
    <cfRule type="cellIs" dxfId="207" priority="251" operator="greaterThan">
      <formula>0</formula>
    </cfRule>
    <cfRule type="cellIs" dxfId="206" priority="252" operator="equal">
      <formula>0</formula>
    </cfRule>
  </conditionalFormatting>
  <conditionalFormatting sqref="EU26">
    <cfRule type="cellIs" dxfId="181" priority="225" operator="greaterThan">
      <formula>0</formula>
    </cfRule>
    <cfRule type="cellIs" dxfId="180" priority="226" operator="equal">
      <formula>0</formula>
    </cfRule>
  </conditionalFormatting>
  <conditionalFormatting sqref="EU39">
    <cfRule type="cellIs" dxfId="179" priority="223" operator="greaterThan">
      <formula>0</formula>
    </cfRule>
    <cfRule type="cellIs" dxfId="178" priority="224" operator="equal">
      <formula>0</formula>
    </cfRule>
  </conditionalFormatting>
  <conditionalFormatting sqref="EU27:EU36">
    <cfRule type="cellIs" dxfId="177" priority="221" operator="greaterThan">
      <formula>0</formula>
    </cfRule>
    <cfRule type="cellIs" dxfId="176" priority="222" operator="equal">
      <formula>0</formula>
    </cfRule>
  </conditionalFormatting>
  <conditionalFormatting sqref="EU40:EU49">
    <cfRule type="cellIs" dxfId="175" priority="219" operator="greaterThan">
      <formula>0</formula>
    </cfRule>
    <cfRule type="cellIs" dxfId="174" priority="220" operator="equal">
      <formula>0</formula>
    </cfRule>
  </conditionalFormatting>
  <conditionalFormatting sqref="BI26">
    <cfRule type="cellIs" dxfId="169" priority="213" operator="greaterThan">
      <formula>0</formula>
    </cfRule>
    <cfRule type="cellIs" dxfId="168" priority="214" operator="equal">
      <formula>0</formula>
    </cfRule>
  </conditionalFormatting>
  <conditionalFormatting sqref="BI39">
    <cfRule type="cellIs" dxfId="167" priority="211" operator="greaterThan">
      <formula>0</formula>
    </cfRule>
    <cfRule type="cellIs" dxfId="166" priority="212" operator="equal">
      <formula>0</formula>
    </cfRule>
  </conditionalFormatting>
  <conditionalFormatting sqref="BI27:BI36">
    <cfRule type="cellIs" dxfId="165" priority="209" operator="greaterThan">
      <formula>0</formula>
    </cfRule>
    <cfRule type="cellIs" dxfId="164" priority="210" operator="equal">
      <formula>0</formula>
    </cfRule>
  </conditionalFormatting>
  <conditionalFormatting sqref="BI40:BI49">
    <cfRule type="cellIs" dxfId="163" priority="207" operator="greaterThan">
      <formula>0</formula>
    </cfRule>
    <cfRule type="cellIs" dxfId="162" priority="208" operator="equal">
      <formula>0</formula>
    </cfRule>
  </conditionalFormatting>
  <conditionalFormatting sqref="AS27:AS36">
    <cfRule type="cellIs" dxfId="129" priority="173" operator="greaterThan">
      <formula>0</formula>
    </cfRule>
    <cfRule type="cellIs" dxfId="128" priority="174" operator="equal">
      <formula>0</formula>
    </cfRule>
  </conditionalFormatting>
  <conditionalFormatting sqref="AS40:AS49">
    <cfRule type="cellIs" dxfId="127" priority="171" operator="greaterThan">
      <formula>0</formula>
    </cfRule>
    <cfRule type="cellIs" dxfId="126" priority="172" operator="equal">
      <formula>0</formula>
    </cfRule>
  </conditionalFormatting>
  <conditionalFormatting sqref="AZ27:AZ36">
    <cfRule type="cellIs" dxfId="125" priority="169" operator="greaterThan">
      <formula>0</formula>
    </cfRule>
    <cfRule type="cellIs" dxfId="124" priority="170" operator="equal">
      <formula>0</formula>
    </cfRule>
  </conditionalFormatting>
  <conditionalFormatting sqref="J27:J40">
    <cfRule type="cellIs" dxfId="21" priority="33" operator="greaterThan">
      <formula>0</formula>
    </cfRule>
    <cfRule type="cellIs" dxfId="20" priority="34" operator="equal">
      <formula>0</formula>
    </cfRule>
  </conditionalFormatting>
  <conditionalFormatting sqref="J45:J67">
    <cfRule type="cellIs" dxfId="19" priority="31" operator="greaterThan">
      <formula>0</formula>
    </cfRule>
    <cfRule type="cellIs" dxfId="18" priority="32" operator="equal">
      <formula>0</formula>
    </cfRule>
  </conditionalFormatting>
  <conditionalFormatting sqref="J44">
    <cfRule type="cellIs" dxfId="17" priority="29" operator="greaterThan">
      <formula>0</formula>
    </cfRule>
    <cfRule type="cellIs" dxfId="16" priority="30" operator="equal">
      <formula>0</formula>
    </cfRule>
  </conditionalFormatting>
  <conditionalFormatting sqref="J26">
    <cfRule type="cellIs" dxfId="15" priority="27" operator="greaterThan">
      <formula>0</formula>
    </cfRule>
    <cfRule type="cellIs" dxfId="14" priority="28" operator="equal">
      <formula>0</formula>
    </cfRule>
  </conditionalFormatting>
  <conditionalFormatting sqref="R27:R40">
    <cfRule type="cellIs" dxfId="13" priority="17" operator="greaterThan">
      <formula>0</formula>
    </cfRule>
    <cfRule type="cellIs" dxfId="12" priority="18" operator="equal">
      <formula>0</formula>
    </cfRule>
  </conditionalFormatting>
  <conditionalFormatting sqref="R45:R58">
    <cfRule type="cellIs" dxfId="11" priority="15" operator="greaterThan">
      <formula>0</formula>
    </cfRule>
    <cfRule type="cellIs" dxfId="10" priority="16" operator="equal">
      <formula>0</formula>
    </cfRule>
  </conditionalFormatting>
  <conditionalFormatting sqref="R44">
    <cfRule type="cellIs" dxfId="9" priority="13" operator="greaterThan">
      <formula>0</formula>
    </cfRule>
    <cfRule type="cellIs" dxfId="8" priority="14" operator="equal">
      <formula>0</formula>
    </cfRule>
  </conditionalFormatting>
  <conditionalFormatting sqref="R26">
    <cfRule type="cellIs" dxfId="7" priority="11" operator="greaterThan">
      <formula>0</formula>
    </cfRule>
    <cfRule type="cellIs" dxfId="6" priority="12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Changelog</vt:lpstr>
      <vt:lpstr>TRAINSET OPTIONS</vt:lpstr>
      <vt:lpstr>MATRIX DEVICE COMMUNICATION</vt:lpstr>
      <vt:lpstr>IP Address (no mod)</vt:lpstr>
      <vt:lpstr>Train IP Addressing 15 COACHES</vt:lpstr>
      <vt:lpstr>Train IP Addressing 15 CabCar</vt:lpstr>
    </vt:vector>
  </TitlesOfParts>
  <Manager/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Sergio González Mancebo</dc:creator>
  <cp:keywords/>
  <dc:description/>
  <cp:lastModifiedBy>Jose María Muñoz De La Rosa</cp:lastModifiedBy>
  <cp:revision/>
  <dcterms:created xsi:type="dcterms:W3CDTF">2020-04-27T06:50:23Z</dcterms:created>
  <dcterms:modified xsi:type="dcterms:W3CDTF">2025-11-17T12:02:12Z</dcterms:modified>
  <cp:category/>
  <cp:contentStatus/>
</cp:coreProperties>
</file>
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é María\Documents\SW PES\PES Utility\"/>
    </mc:Choice>
  </mc:AlternateContent>
  <xr:revisionPtr revIDLastSave="0" documentId="13_ncr:1_{44D8C417-AAA3-4F50-A5F5-6289ED8C337D}" xr6:coauthVersionLast="47" xr6:coauthVersionMax="47" xr10:uidLastSave="{00000000-0000-0000-0000-000000000000}"/>
  <bookViews>
    <workbookView xWindow="-105" yWindow="0" windowWidth="38610" windowHeight="20985" activeTab="2" xr2:uid="{00000000-000D-0000-FFFF-FFFF00000000}"/>
  </bookViews>
  <sheets>
    <sheet name="Changelog" sheetId="3" r:id="rId1"/>
    <sheet name="IP Address" sheetId="2" r:id="rId2"/>
    <sheet name="Train IP Addressing (ECN)" sheetId="1" r:id="rId3"/>
    <sheet name="IP Address (ETB)" sheetId="6" r:id="rId4"/>
    <sheet name="Train IP Addressing (ETB)" sheetId="5" r:id="rId5"/>
    <sheet name="Reserved Fixed IPs" sheetId="7" r:id="rId6"/>
    <sheet name="Coaches Types and Number" sheetId="4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50" i="1" l="1"/>
  <c r="V51" i="1"/>
  <c r="V33" i="1"/>
  <c r="V32" i="1"/>
  <c r="O33" i="1"/>
  <c r="O32" i="1"/>
  <c r="O51" i="1"/>
  <c r="O50" i="1"/>
  <c r="AL33" i="1"/>
  <c r="AL32" i="1"/>
  <c r="CL51" i="1"/>
  <c r="CL50" i="1"/>
  <c r="CL33" i="1"/>
  <c r="CL32" i="1"/>
  <c r="CE51" i="1"/>
  <c r="CE50" i="1"/>
  <c r="CE33" i="1"/>
  <c r="CE32" i="1"/>
  <c r="G72" i="5"/>
  <c r="H72" i="5" s="1"/>
  <c r="G71" i="5"/>
  <c r="H71" i="5" s="1"/>
  <c r="G69" i="5"/>
  <c r="H69" i="5" s="1"/>
  <c r="G68" i="5"/>
  <c r="H68" i="5" s="1"/>
  <c r="G31" i="6"/>
  <c r="F34" i="6"/>
  <c r="I33" i="6"/>
  <c r="I32" i="6"/>
  <c r="H32" i="6"/>
  <c r="F35" i="6"/>
  <c r="AU47" i="5"/>
  <c r="BD42" i="5"/>
  <c r="BM31" i="5"/>
  <c r="V28" i="5"/>
  <c r="DT23" i="1"/>
  <c r="CL29" i="5"/>
  <c r="BD49" i="5"/>
  <c r="F8" i="4"/>
  <c r="DD41" i="1"/>
  <c r="G107" i="1"/>
  <c r="DD49" i="5"/>
  <c r="D13" i="4"/>
  <c r="E18" i="4"/>
  <c r="C16" i="4"/>
  <c r="CU30" i="5"/>
  <c r="O43" i="5"/>
  <c r="G86" i="1"/>
  <c r="F18" i="4"/>
  <c r="G74" i="1"/>
  <c r="O44" i="5"/>
  <c r="CU28" i="5"/>
  <c r="E15" i="4"/>
  <c r="AU31" i="5"/>
  <c r="O48" i="5"/>
  <c r="H44" i="5"/>
  <c r="CE43" i="5"/>
  <c r="DT47" i="5"/>
  <c r="C12" i="4"/>
  <c r="BM49" i="5"/>
  <c r="G101" i="1"/>
  <c r="BM47" i="5"/>
  <c r="BV42" i="5"/>
  <c r="AL30" i="5"/>
  <c r="AL28" i="5"/>
  <c r="AU42" i="5"/>
  <c r="D11" i="4"/>
  <c r="E13" i="4"/>
  <c r="G108" i="1"/>
  <c r="DD31" i="5"/>
  <c r="DT23" i="5"/>
  <c r="DM51" i="5"/>
  <c r="G110" i="1"/>
  <c r="G87" i="1"/>
  <c r="DM47" i="5"/>
  <c r="AU41" i="5"/>
  <c r="C18" i="4"/>
  <c r="H25" i="5"/>
  <c r="O25" i="5"/>
  <c r="O41" i="5"/>
  <c r="H43" i="5"/>
  <c r="CL25" i="5"/>
  <c r="CE46" i="5"/>
  <c r="DD47" i="5"/>
  <c r="F15" i="4"/>
  <c r="DM45" i="5"/>
  <c r="G70" i="1"/>
  <c r="DM42" i="5"/>
  <c r="BV48" i="5"/>
  <c r="DT48" i="5"/>
  <c r="G75" i="1"/>
  <c r="DM33" i="5"/>
  <c r="C4" i="4"/>
  <c r="BV46" i="5"/>
  <c r="G96" i="1"/>
  <c r="DT51" i="5"/>
  <c r="BV51" i="5"/>
  <c r="AU50" i="5"/>
  <c r="D4" i="4"/>
  <c r="G90" i="1"/>
  <c r="BD51" i="5"/>
  <c r="CU44" i="5"/>
  <c r="E19" i="4"/>
  <c r="CU43" i="5"/>
  <c r="G81" i="1"/>
  <c r="DT45" i="5"/>
  <c r="BV26" i="5"/>
  <c r="C9" i="4"/>
  <c r="G92" i="1"/>
  <c r="AU44" i="5"/>
  <c r="CU23" i="5"/>
  <c r="DT43" i="5"/>
  <c r="G94" i="1"/>
  <c r="CU33" i="5"/>
  <c r="BV43" i="5"/>
  <c r="DD25" i="5"/>
  <c r="DD43" i="5"/>
  <c r="BV23" i="1"/>
  <c r="DD51" i="5"/>
  <c r="AL32" i="5"/>
  <c r="AE48" i="5"/>
  <c r="O26" i="5"/>
  <c r="H46" i="5"/>
  <c r="H27" i="5"/>
  <c r="H41" i="5"/>
  <c r="DT49" i="5"/>
  <c r="D15" i="4"/>
  <c r="CU48" i="5"/>
  <c r="G103" i="1"/>
  <c r="AU32" i="5"/>
  <c r="AL23" i="5"/>
  <c r="E5" i="4"/>
  <c r="G109" i="1"/>
  <c r="DT46" i="5"/>
  <c r="BV27" i="5"/>
  <c r="D16" i="4"/>
  <c r="G98" i="1"/>
  <c r="CU46" i="5"/>
  <c r="BM23" i="5"/>
  <c r="DM30" i="5"/>
  <c r="CU51" i="5"/>
  <c r="AU30" i="5"/>
  <c r="DM27" i="5"/>
  <c r="AE31" i="5"/>
  <c r="G77" i="1"/>
  <c r="V26" i="5"/>
  <c r="V47" i="5"/>
  <c r="V43" i="5"/>
  <c r="H51" i="5"/>
  <c r="CE23" i="5"/>
  <c r="CE44" i="5"/>
  <c r="BM29" i="5"/>
  <c r="O28" i="5"/>
  <c r="F13" i="4"/>
  <c r="BM28" i="5"/>
  <c r="DT27" i="5"/>
  <c r="C13" i="4"/>
  <c r="CL23" i="5"/>
  <c r="BM25" i="5"/>
  <c r="E17" i="4"/>
  <c r="G89" i="1"/>
  <c r="DT41" i="5"/>
  <c r="CE28" i="5"/>
  <c r="C8" i="4"/>
  <c r="CU29" i="5"/>
  <c r="CL28" i="5"/>
  <c r="BD43" i="5"/>
  <c r="DM23" i="5"/>
  <c r="CU32" i="5"/>
  <c r="F11" i="4"/>
  <c r="E7" i="4"/>
  <c r="DM41" i="5"/>
  <c r="H50" i="5"/>
  <c r="CE41" i="5"/>
  <c r="DD30" i="5"/>
  <c r="CU41" i="5"/>
  <c r="BV29" i="5"/>
  <c r="C6" i="4"/>
  <c r="V30" i="5"/>
  <c r="AE51" i="5"/>
  <c r="H31" i="5"/>
  <c r="CE45" i="5"/>
  <c r="AU51" i="5"/>
  <c r="C15" i="4"/>
  <c r="BM30" i="5"/>
  <c r="AU41" i="1"/>
  <c r="DD27" i="5"/>
  <c r="AL27" i="5"/>
  <c r="BV47" i="5"/>
  <c r="G78" i="1"/>
  <c r="BM46" i="5"/>
  <c r="BV31" i="5"/>
  <c r="BD41" i="5"/>
  <c r="G112" i="1"/>
  <c r="DM28" i="5"/>
  <c r="AL24" i="5"/>
  <c r="BM32" i="5"/>
  <c r="AU27" i="5"/>
  <c r="DM24" i="5"/>
  <c r="F10" i="4"/>
  <c r="DD23" i="1"/>
  <c r="BD48" i="5"/>
  <c r="H33" i="5"/>
  <c r="V24" i="5"/>
  <c r="V29" i="5"/>
  <c r="V41" i="5"/>
  <c r="CL49" i="5"/>
  <c r="CE31" i="5"/>
  <c r="G82" i="1"/>
  <c r="AU26" i="5"/>
  <c r="F19" i="4"/>
  <c r="C17" i="4"/>
  <c r="V49" i="5"/>
  <c r="E11" i="4"/>
  <c r="DD29" i="5"/>
  <c r="DD41" i="5"/>
  <c r="AE29" i="5"/>
  <c r="H49" i="5"/>
  <c r="DT41" i="1"/>
  <c r="BD26" i="5"/>
  <c r="G76" i="1"/>
  <c r="AU33" i="5"/>
  <c r="DD23" i="5"/>
  <c r="D20" i="4"/>
  <c r="CU23" i="1"/>
  <c r="BD47" i="5"/>
  <c r="AE47" i="5"/>
  <c r="AE23" i="5"/>
  <c r="G105" i="1"/>
  <c r="DT42" i="5"/>
  <c r="BV23" i="5"/>
  <c r="G97" i="1"/>
  <c r="F4" i="4"/>
  <c r="BM51" i="5"/>
  <c r="AL26" i="5"/>
  <c r="BM44" i="5"/>
  <c r="BM26" i="5"/>
  <c r="AU46" i="5"/>
  <c r="E10" i="4"/>
  <c r="G100" i="1"/>
  <c r="DD28" i="5"/>
  <c r="V25" i="5"/>
  <c r="V42" i="5"/>
  <c r="H30" i="5"/>
  <c r="V48" i="5"/>
  <c r="CE47" i="5"/>
  <c r="CL46" i="5"/>
  <c r="DM48" i="5"/>
  <c r="H42" i="5"/>
  <c r="V23" i="5"/>
  <c r="H47" i="5"/>
  <c r="CL31" i="5"/>
  <c r="CL26" i="5"/>
  <c r="D8" i="4"/>
  <c r="BD28" i="5"/>
  <c r="BM33" i="5"/>
  <c r="C7" i="4"/>
  <c r="O30" i="5"/>
  <c r="CE27" i="5"/>
  <c r="G65" i="1"/>
  <c r="C10" i="4"/>
  <c r="E20" i="4"/>
  <c r="G102" i="1"/>
  <c r="AE33" i="5"/>
  <c r="O31" i="5"/>
  <c r="DM31" i="1"/>
  <c r="AE30" i="5"/>
  <c r="G99" i="1"/>
  <c r="O46" i="5"/>
  <c r="AL31" i="5"/>
  <c r="BM50" i="5"/>
  <c r="DT50" i="5"/>
  <c r="DM50" i="5"/>
  <c r="G68" i="1"/>
  <c r="H45" i="5"/>
  <c r="BD23" i="5"/>
  <c r="F5" i="4"/>
  <c r="AL23" i="1"/>
  <c r="O42" i="5"/>
  <c r="DD46" i="5"/>
  <c r="F9" i="4"/>
  <c r="H29" i="5"/>
  <c r="G84" i="1"/>
  <c r="D7" i="4"/>
  <c r="BV49" i="5"/>
  <c r="D5" i="4"/>
  <c r="G93" i="1"/>
  <c r="BM43" i="5"/>
  <c r="BV30" i="5"/>
  <c r="D9" i="4"/>
  <c r="BD45" i="5"/>
  <c r="BD44" i="5"/>
  <c r="AE49" i="5"/>
  <c r="G79" i="1"/>
  <c r="G111" i="1"/>
  <c r="DM43" i="5"/>
  <c r="AE41" i="5"/>
  <c r="DM49" i="5"/>
  <c r="BD23" i="1"/>
  <c r="BD46" i="5"/>
  <c r="AE43" i="5"/>
  <c r="DT33" i="5"/>
  <c r="E12" i="4"/>
  <c r="CU50" i="5"/>
  <c r="D12" i="4"/>
  <c r="BD41" i="1"/>
  <c r="V46" i="5"/>
  <c r="F20" i="4"/>
  <c r="BD30" i="5"/>
  <c r="O27" i="5"/>
  <c r="AU49" i="5"/>
  <c r="BD31" i="5"/>
  <c r="D18" i="4"/>
  <c r="D17" i="4"/>
  <c r="CE25" i="5"/>
  <c r="BV32" i="5"/>
  <c r="C11" i="4"/>
  <c r="G71" i="1"/>
  <c r="BV50" i="5"/>
  <c r="DT31" i="5"/>
  <c r="DM44" i="5"/>
  <c r="E9" i="4"/>
  <c r="CE42" i="5"/>
  <c r="G85" i="1"/>
  <c r="V44" i="5"/>
  <c r="DT44" i="1"/>
  <c r="G67" i="1"/>
  <c r="G83" i="1"/>
  <c r="BM41" i="1"/>
  <c r="AE25" i="5"/>
  <c r="CE26" i="5"/>
  <c r="D10" i="4"/>
  <c r="AE27" i="5"/>
  <c r="G106" i="1"/>
  <c r="BD32" i="5"/>
  <c r="BV33" i="5"/>
  <c r="BM41" i="5"/>
  <c r="AU28" i="5"/>
  <c r="F6" i="4"/>
  <c r="G80" i="1"/>
  <c r="G66" i="1"/>
  <c r="AU23" i="1"/>
  <c r="BM48" i="5"/>
  <c r="AE44" i="5"/>
  <c r="DM32" i="5"/>
  <c r="AU45" i="5"/>
  <c r="BD33" i="5"/>
  <c r="AL33" i="5"/>
  <c r="DT29" i="5"/>
  <c r="D19" i="4"/>
  <c r="AU29" i="5"/>
  <c r="C14" i="4"/>
  <c r="BD27" i="5"/>
  <c r="CU42" i="5"/>
  <c r="V31" i="5"/>
  <c r="H48" i="5"/>
  <c r="O47" i="5"/>
  <c r="CL24" i="5"/>
  <c r="CL41" i="5"/>
  <c r="CL45" i="5"/>
  <c r="CE49" i="5"/>
  <c r="CL43" i="5"/>
  <c r="G95" i="1"/>
  <c r="CU27" i="5"/>
  <c r="CU25" i="1"/>
  <c r="DD48" i="5"/>
  <c r="CU47" i="5"/>
  <c r="G73" i="1"/>
  <c r="DT44" i="5"/>
  <c r="CE48" i="5"/>
  <c r="CL48" i="5"/>
  <c r="AE42" i="5"/>
  <c r="CU26" i="5"/>
  <c r="DM26" i="5"/>
  <c r="F12" i="4"/>
  <c r="CU49" i="5"/>
  <c r="C19" i="4"/>
  <c r="DT24" i="5"/>
  <c r="BD50" i="5"/>
  <c r="DD45" i="5"/>
  <c r="C20" i="4"/>
  <c r="CL30" i="5"/>
  <c r="DD42" i="5"/>
  <c r="F14" i="4"/>
  <c r="F7" i="4"/>
  <c r="BV25" i="5"/>
  <c r="E8" i="4"/>
  <c r="CU31" i="5"/>
  <c r="BD29" i="5"/>
  <c r="AE28" i="5"/>
  <c r="G91" i="1"/>
  <c r="DD32" i="5"/>
  <c r="CE29" i="5"/>
  <c r="H28" i="5"/>
  <c r="G104" i="1"/>
  <c r="CU45" i="5"/>
  <c r="BV28" i="5"/>
  <c r="AE45" i="5"/>
  <c r="DT32" i="5"/>
  <c r="E6" i="4"/>
  <c r="G88" i="1"/>
  <c r="BM23" i="1"/>
  <c r="CU41" i="1"/>
  <c r="CU25" i="5"/>
  <c r="AE26" i="5"/>
  <c r="DT25" i="5"/>
  <c r="DM46" i="5"/>
  <c r="F16" i="4"/>
  <c r="G69" i="1"/>
  <c r="BM45" i="5"/>
  <c r="BV41" i="5"/>
  <c r="DM25" i="5"/>
  <c r="F17" i="4"/>
  <c r="DM31" i="5"/>
  <c r="AU48" i="5"/>
  <c r="V45" i="5"/>
  <c r="H26" i="5"/>
  <c r="H23" i="5"/>
  <c r="CL47" i="5"/>
  <c r="BM42" i="5"/>
  <c r="AU23" i="5"/>
  <c r="DD50" i="5"/>
  <c r="DT28" i="5"/>
  <c r="AE46" i="5"/>
  <c r="E16" i="4"/>
  <c r="AL29" i="5"/>
  <c r="D14" i="4"/>
  <c r="O45" i="5"/>
  <c r="E14" i="4"/>
  <c r="DM29" i="5"/>
  <c r="DD26" i="5"/>
  <c r="DT30" i="5"/>
  <c r="O24" i="5"/>
  <c r="CL27" i="5"/>
  <c r="BV41" i="1"/>
  <c r="DD33" i="5"/>
  <c r="AU43" i="5"/>
  <c r="BM27" i="5"/>
  <c r="O23" i="5"/>
  <c r="DM41" i="1"/>
  <c r="AL25" i="5"/>
  <c r="D6" i="4"/>
  <c r="H24" i="5"/>
  <c r="DD44" i="5"/>
  <c r="E4" i="4"/>
  <c r="BV45" i="5"/>
  <c r="CL42" i="5"/>
  <c r="C5" i="4"/>
  <c r="AU25" i="5"/>
  <c r="BV44" i="5"/>
  <c r="O49" i="5"/>
  <c r="DM23" i="1"/>
  <c r="BD25" i="5"/>
  <c r="G72" i="1"/>
  <c r="O29" i="5"/>
  <c r="CL44" i="5"/>
  <c r="H32" i="5"/>
  <c r="CE30" i="5"/>
  <c r="V51" i="5" l="1"/>
  <c r="AE50" i="5"/>
  <c r="AE32" i="5"/>
  <c r="CL51" i="5"/>
  <c r="CL33" i="5"/>
  <c r="V50" i="5"/>
  <c r="V32" i="5"/>
  <c r="CL50" i="5"/>
  <c r="CE51" i="5"/>
  <c r="CE33" i="5"/>
  <c r="O51" i="5"/>
  <c r="O33" i="5"/>
  <c r="CE32" i="5"/>
  <c r="CE50" i="5"/>
  <c r="O32" i="5"/>
  <c r="O50" i="5"/>
  <c r="V33" i="5"/>
  <c r="AE24" i="5"/>
  <c r="DT26" i="1"/>
  <c r="G21" i="6"/>
  <c r="G24" i="6" l="1"/>
  <c r="D23" i="6"/>
  <c r="D24" i="6"/>
  <c r="D20" i="6"/>
  <c r="D21" i="6"/>
  <c r="E15" i="6"/>
  <c r="H23" i="6"/>
  <c r="H38" i="6"/>
  <c r="H21" i="6"/>
  <c r="H24" i="6"/>
  <c r="F38" i="6"/>
  <c r="H20" i="6"/>
  <c r="H33" i="6"/>
  <c r="I31" i="6"/>
  <c r="I21" i="6" l="1"/>
  <c r="I23" i="6"/>
  <c r="I34" i="6"/>
  <c r="I35" i="6" s="1"/>
  <c r="I24" i="6"/>
  <c r="I20" i="6"/>
  <c r="E21" i="6"/>
  <c r="E23" i="6"/>
  <c r="E24" i="6"/>
  <c r="E20" i="6"/>
  <c r="D11" i="6"/>
  <c r="D12" i="6"/>
  <c r="D13" i="6"/>
  <c r="D14" i="6"/>
  <c r="K11" i="6"/>
  <c r="L11" i="6" s="1"/>
  <c r="J11" i="6"/>
  <c r="K10" i="6"/>
  <c r="M10" i="6" s="1"/>
  <c r="J10" i="6"/>
  <c r="K9" i="6"/>
  <c r="M9" i="6" s="1"/>
  <c r="J9" i="6"/>
  <c r="K8" i="6"/>
  <c r="M8" i="6" s="1"/>
  <c r="J8" i="6"/>
  <c r="K7" i="6"/>
  <c r="M7" i="6" s="1"/>
  <c r="J7" i="6"/>
  <c r="K6" i="6"/>
  <c r="M6" i="6" s="1"/>
  <c r="J6" i="6"/>
  <c r="K5" i="6"/>
  <c r="M5" i="6" s="1"/>
  <c r="J5" i="6"/>
  <c r="K4" i="6"/>
  <c r="M4" i="6" s="1"/>
  <c r="J4" i="6"/>
  <c r="K5" i="2"/>
  <c r="M5" i="2" s="1"/>
  <c r="K6" i="2"/>
  <c r="M6" i="2" s="1"/>
  <c r="K7" i="2"/>
  <c r="M7" i="2" s="1"/>
  <c r="K8" i="2"/>
  <c r="M8" i="2" s="1"/>
  <c r="K9" i="2"/>
  <c r="M9" i="2" s="1"/>
  <c r="K10" i="2"/>
  <c r="M10" i="2" s="1"/>
  <c r="K11" i="2"/>
  <c r="M11" i="2" s="1"/>
  <c r="K4" i="2"/>
  <c r="L4" i="2" s="1"/>
  <c r="G25" i="2"/>
  <c r="F25" i="2"/>
  <c r="D21" i="2"/>
  <c r="D20" i="2"/>
  <c r="G19" i="2"/>
  <c r="O44" i="1"/>
  <c r="H33" i="1"/>
  <c r="CL29" i="1"/>
  <c r="O47" i="1"/>
  <c r="H31" i="1"/>
  <c r="O27" i="1"/>
  <c r="O43" i="1"/>
  <c r="CL43" i="1"/>
  <c r="CL42" i="1"/>
  <c r="H31" i="6"/>
  <c r="DM45" i="1"/>
  <c r="O48" i="1"/>
  <c r="CL49" i="1"/>
  <c r="H32" i="1"/>
  <c r="G20" i="2"/>
  <c r="CL46" i="1"/>
  <c r="CL27" i="1"/>
  <c r="H24" i="1"/>
  <c r="O26" i="1"/>
  <c r="G21" i="2"/>
  <c r="H27" i="1"/>
  <c r="CL47" i="1"/>
  <c r="O49" i="1"/>
  <c r="CL31" i="1"/>
  <c r="O30" i="1"/>
  <c r="CL26" i="1"/>
  <c r="O29" i="1"/>
  <c r="H25" i="2"/>
  <c r="O25" i="1"/>
  <c r="G32" i="6"/>
  <c r="O31" i="1"/>
  <c r="CL44" i="1"/>
  <c r="O45" i="1"/>
  <c r="I25" i="2"/>
  <c r="AE25" i="1"/>
  <c r="CL28" i="1"/>
  <c r="CL30" i="1"/>
  <c r="O46" i="1"/>
  <c r="AE28" i="1"/>
  <c r="CL45" i="1"/>
  <c r="CL25" i="1"/>
  <c r="DD45" i="1"/>
  <c r="O28" i="1"/>
  <c r="CL48" i="1"/>
  <c r="O42" i="1"/>
  <c r="AU31" i="1"/>
  <c r="H28" i="1"/>
  <c r="AE32" i="1" l="1"/>
  <c r="AE50" i="1"/>
  <c r="H65" i="1"/>
  <c r="H34" i="6"/>
  <c r="H35" i="6" s="1"/>
  <c r="G34" i="6"/>
  <c r="L8" i="2"/>
  <c r="E21" i="2"/>
  <c r="M11" i="6"/>
  <c r="L5" i="6"/>
  <c r="L7" i="6"/>
  <c r="L9" i="6"/>
  <c r="L4" i="6"/>
  <c r="L6" i="6"/>
  <c r="L8" i="6"/>
  <c r="L10" i="6"/>
  <c r="BD24" i="5"/>
  <c r="BM24" i="5"/>
  <c r="AU24" i="5"/>
  <c r="BV24" i="5"/>
  <c r="CE24" i="5"/>
  <c r="CL32" i="5" s="1"/>
  <c r="DT26" i="5"/>
  <c r="CU24" i="5"/>
  <c r="DD24" i="5"/>
  <c r="L11" i="2"/>
  <c r="L7" i="2"/>
  <c r="L10" i="2"/>
  <c r="L6" i="2"/>
  <c r="L9" i="2"/>
  <c r="L5" i="2"/>
  <c r="M4" i="2"/>
  <c r="E20" i="2"/>
  <c r="H101" i="1"/>
  <c r="H76" i="1"/>
  <c r="H87" i="1"/>
  <c r="H71" i="1"/>
  <c r="H73" i="1"/>
  <c r="H96" i="1"/>
  <c r="H68" i="1"/>
  <c r="H98" i="1"/>
  <c r="H108" i="1"/>
  <c r="H103" i="1"/>
  <c r="H97" i="1"/>
  <c r="H82" i="1"/>
  <c r="H66" i="1"/>
  <c r="H89" i="1"/>
  <c r="H100" i="1"/>
  <c r="H99" i="1"/>
  <c r="H83" i="1"/>
  <c r="H67" i="1"/>
  <c r="H93" i="1"/>
  <c r="H69" i="1"/>
  <c r="H88" i="1"/>
  <c r="H110" i="1"/>
  <c r="H94" i="1"/>
  <c r="H78" i="1"/>
  <c r="H81" i="1"/>
  <c r="H92" i="1"/>
  <c r="H111" i="1"/>
  <c r="H95" i="1"/>
  <c r="H79" i="1"/>
  <c r="H85" i="1"/>
  <c r="H112" i="1"/>
  <c r="H80" i="1"/>
  <c r="H106" i="1"/>
  <c r="H90" i="1"/>
  <c r="H74" i="1"/>
  <c r="H109" i="1"/>
  <c r="H84" i="1"/>
  <c r="H107" i="1"/>
  <c r="H91" i="1"/>
  <c r="H75" i="1"/>
  <c r="H105" i="1"/>
  <c r="H77" i="1"/>
  <c r="H104" i="1"/>
  <c r="H72" i="1"/>
  <c r="H102" i="1"/>
  <c r="H86" i="1"/>
  <c r="H70" i="1"/>
  <c r="I26" i="2"/>
  <c r="H22" i="2"/>
  <c r="H21" i="2"/>
  <c r="H26" i="2"/>
  <c r="J25" i="2"/>
  <c r="C38" i="6" l="1"/>
  <c r="G35" i="6"/>
  <c r="D38" i="6" s="1"/>
  <c r="J5" i="2"/>
  <c r="J6" i="2"/>
  <c r="J7" i="2"/>
  <c r="J8" i="2"/>
  <c r="J9" i="2"/>
  <c r="J10" i="2"/>
  <c r="J11" i="2"/>
  <c r="J4" i="2"/>
  <c r="E14" i="2" l="1"/>
  <c r="D11" i="2"/>
  <c r="D13" i="2"/>
  <c r="D12" i="2"/>
  <c r="BD25" i="1"/>
  <c r="V42" i="1"/>
  <c r="BV26" i="1"/>
  <c r="AU33" i="1"/>
  <c r="DD47" i="1"/>
  <c r="V30" i="1"/>
  <c r="BM26" i="1"/>
  <c r="DD43" i="1"/>
  <c r="AE29" i="1"/>
  <c r="CE31" i="1"/>
  <c r="DT31" i="1"/>
  <c r="DM43" i="1"/>
  <c r="DT50" i="1"/>
  <c r="CE27" i="1"/>
  <c r="DT42" i="1"/>
  <c r="BD26" i="1"/>
  <c r="DT32" i="1"/>
  <c r="CE25" i="1"/>
  <c r="CU42" i="1"/>
  <c r="CU26" i="1"/>
  <c r="DT51" i="1"/>
  <c r="BM29" i="1"/>
  <c r="CE30" i="1"/>
  <c r="CE44" i="1"/>
  <c r="AU43" i="1"/>
  <c r="DD42" i="1"/>
  <c r="CU28" i="1"/>
  <c r="BV51" i="1"/>
  <c r="H48" i="1"/>
  <c r="DD50" i="1"/>
  <c r="V24" i="1"/>
  <c r="CU29" i="1"/>
  <c r="V26" i="1"/>
  <c r="AU47" i="1"/>
  <c r="BV44" i="1"/>
  <c r="BM28" i="1"/>
  <c r="AU45" i="1"/>
  <c r="CU43" i="1"/>
  <c r="AE51" i="1"/>
  <c r="CE43" i="1"/>
  <c r="DT33" i="1"/>
  <c r="DM47" i="1"/>
  <c r="DM49" i="1"/>
  <c r="BD30" i="1"/>
  <c r="CE28" i="1"/>
  <c r="BD46" i="1"/>
  <c r="BM51" i="1"/>
  <c r="H50" i="1"/>
  <c r="BD45" i="1"/>
  <c r="BD42" i="1"/>
  <c r="AU46" i="1"/>
  <c r="DT49" i="1"/>
  <c r="CE48" i="1"/>
  <c r="BD47" i="1"/>
  <c r="CE47" i="1"/>
  <c r="V49" i="1"/>
  <c r="DT48" i="1"/>
  <c r="H42" i="1"/>
  <c r="BD32" i="1"/>
  <c r="BM46" i="1"/>
  <c r="AU29" i="1"/>
  <c r="BD44" i="1"/>
  <c r="CU32" i="1"/>
  <c r="V48" i="1"/>
  <c r="AU44" i="1"/>
  <c r="BV43" i="1"/>
  <c r="AL28" i="1"/>
  <c r="DT30" i="1"/>
  <c r="BV28" i="1"/>
  <c r="DM33" i="1"/>
  <c r="AL27" i="1"/>
  <c r="V46" i="1"/>
  <c r="DD31" i="1"/>
  <c r="CE45" i="1"/>
  <c r="AE26" i="1"/>
  <c r="BM45" i="1"/>
  <c r="BM32" i="1"/>
  <c r="CU47" i="1"/>
  <c r="CU49" i="1"/>
  <c r="BD48" i="1"/>
  <c r="H43" i="1"/>
  <c r="BD29" i="1"/>
  <c r="DD48" i="1"/>
  <c r="BM27" i="1"/>
  <c r="DD44" i="1"/>
  <c r="BV50" i="1"/>
  <c r="BM47" i="1"/>
  <c r="DD33" i="1"/>
  <c r="AU25" i="1"/>
  <c r="BD31" i="1"/>
  <c r="CU27" i="1"/>
  <c r="AE27" i="1"/>
  <c r="CE46" i="1"/>
  <c r="DT28" i="1"/>
  <c r="AE46" i="1"/>
  <c r="BD51" i="1"/>
  <c r="DM48" i="1"/>
  <c r="CU51" i="1"/>
  <c r="BV30" i="1"/>
  <c r="BD28" i="1"/>
  <c r="BD43" i="1"/>
  <c r="V28" i="1"/>
  <c r="CU44" i="1"/>
  <c r="DM50" i="1"/>
  <c r="AE43" i="1"/>
  <c r="BM44" i="1"/>
  <c r="AE48" i="1"/>
  <c r="DM26" i="1"/>
  <c r="AE42" i="1"/>
  <c r="CE42" i="1"/>
  <c r="BV33" i="1"/>
  <c r="DD29" i="1"/>
  <c r="DD32" i="1"/>
  <c r="BV31" i="1"/>
  <c r="BV45" i="1"/>
  <c r="BD50" i="1"/>
  <c r="AL24" i="1"/>
  <c r="DT46" i="1"/>
  <c r="AE33" i="1"/>
  <c r="BD33" i="1"/>
  <c r="DD25" i="1"/>
  <c r="BM42" i="1"/>
  <c r="DT43" i="1"/>
  <c r="DD30" i="1"/>
  <c r="BV47" i="1"/>
  <c r="AU32" i="1"/>
  <c r="CU30" i="1"/>
  <c r="BV25" i="1"/>
  <c r="AU51" i="1"/>
  <c r="H46" i="1"/>
  <c r="CU33" i="1"/>
  <c r="BM48" i="1"/>
  <c r="BM49" i="1"/>
  <c r="DT47" i="1"/>
  <c r="DM28" i="1"/>
  <c r="CE29" i="1"/>
  <c r="AU26" i="1"/>
  <c r="AE47" i="1"/>
  <c r="BV29" i="1"/>
  <c r="BV27" i="1"/>
  <c r="DT25" i="1"/>
  <c r="AE30" i="1"/>
  <c r="BD27" i="1"/>
  <c r="DD46" i="1"/>
  <c r="CU46" i="1"/>
  <c r="CU50" i="1"/>
  <c r="AL31" i="1"/>
  <c r="DM32" i="1"/>
  <c r="V43" i="1"/>
  <c r="AU28" i="1"/>
  <c r="AU30" i="1"/>
  <c r="DD51" i="1"/>
  <c r="V29" i="1"/>
  <c r="BV46" i="1"/>
  <c r="BV48" i="1"/>
  <c r="DT27" i="1"/>
  <c r="DM44" i="1"/>
  <c r="V44" i="1"/>
  <c r="DT45" i="1"/>
  <c r="H45" i="1"/>
  <c r="DM42" i="1"/>
  <c r="V45" i="1"/>
  <c r="BM33" i="1"/>
  <c r="H51" i="1"/>
  <c r="AL29" i="1"/>
  <c r="BV49" i="1"/>
  <c r="V27" i="1"/>
  <c r="CU45" i="1"/>
  <c r="DD49" i="1"/>
  <c r="DD28" i="1"/>
  <c r="DM24" i="1"/>
  <c r="DM51" i="1"/>
  <c r="BM50" i="1"/>
  <c r="AU27" i="1"/>
  <c r="DT24" i="1"/>
  <c r="BM43" i="1"/>
  <c r="CU48" i="1"/>
  <c r="H49" i="1"/>
  <c r="BM31" i="1"/>
  <c r="AE44" i="1"/>
  <c r="BV32" i="1"/>
  <c r="AL30" i="1"/>
  <c r="BV42" i="1"/>
  <c r="DM29" i="1"/>
  <c r="AU48" i="1"/>
  <c r="V47" i="1"/>
  <c r="O24" i="1"/>
  <c r="V25" i="1"/>
  <c r="AL26" i="1"/>
  <c r="DD27" i="1"/>
  <c r="DD26" i="1"/>
  <c r="BM25" i="1"/>
  <c r="DT29" i="1"/>
  <c r="BD49" i="1"/>
  <c r="CE26" i="1"/>
  <c r="CE49" i="1"/>
  <c r="CU31" i="1"/>
  <c r="DM46" i="1"/>
  <c r="BM30" i="1"/>
  <c r="AU42" i="1"/>
  <c r="DM25" i="1"/>
  <c r="AU50" i="1"/>
  <c r="AE45" i="1"/>
  <c r="DM27" i="1"/>
  <c r="AU49" i="1"/>
  <c r="BV24" i="1" l="1"/>
  <c r="BD24" i="1"/>
  <c r="CU24" i="1"/>
  <c r="AU24" i="1"/>
  <c r="BM24" i="1"/>
  <c r="DD24" i="1"/>
  <c r="AE24" i="1"/>
  <c r="CE24" i="1"/>
</calcChain>
</file>

<file path=xl/sharedStrings.xml><?xml version="1.0" encoding="utf-8"?>
<sst xmlns="http://schemas.openxmlformats.org/spreadsheetml/2006/main" count="2688" uniqueCount="561">
  <si>
    <t>ETH INTERFACE</t>
  </si>
  <si>
    <t>TCMS-EE</t>
  </si>
  <si>
    <t>F073 PROJECT</t>
  </si>
  <si>
    <t>Revision</t>
  </si>
  <si>
    <t>Date</t>
  </si>
  <si>
    <t>Author</t>
  </si>
  <si>
    <t>Comments</t>
  </si>
  <si>
    <t>00.00</t>
  </si>
  <si>
    <t>SGM</t>
  </si>
  <si>
    <t>Initial version</t>
  </si>
  <si>
    <t>00.01</t>
  </si>
  <si>
    <t>Remove Battery Charger from Loco</t>
  </si>
  <si>
    <t>00.02</t>
  </si>
  <si>
    <t>Updated Converter ports. 5 ports used.
- Ebula Por moved</t>
  </si>
  <si>
    <t>00.03</t>
  </si>
  <si>
    <t>Updated Bistro Car:
  - Removed Passenger Intercom 1</t>
  </si>
  <si>
    <t>00.04</t>
  </si>
  <si>
    <t>Udated TAE (AccAxlBox) from coach 9 to ESU3 port E1-3</t>
  </si>
  <si>
    <t>00.05</t>
  </si>
  <si>
    <t>Removed ona TAE (ESU2) from loco and Removed one TAE from PMR (IETBN2)</t>
  </si>
  <si>
    <t>00.06</t>
  </si>
  <si>
    <t>Added ESU 5 in Loco.
 Added Rear view Cameras in Loco
Added rear view cameras in cab car</t>
  </si>
  <si>
    <t>00.07</t>
  </si>
  <si>
    <t>Added HVAC in cabin 5
Removed RIOM BAT
Included architecture ports (e0-X and e1-X)</t>
  </si>
  <si>
    <t>00.08</t>
  </si>
  <si>
    <t>Added PRM_WC_DOOR in PRM Coach
Corrected ports e0-2 / e0-3
Removed intercom Cab A/B in Loco</t>
  </si>
  <si>
    <t>00.09</t>
  </si>
  <si>
    <t>Modified Cab Car:
  - ESU4 is PoE
  - Moved Cameras to ESU4
Removed RIOM AUX1 / AUX2
Added a new device VCU_CH</t>
  </si>
  <si>
    <t>00.10</t>
  </si>
  <si>
    <t xml:space="preserve">Modified Locomotive:
  - ESU4 is PoE
  - Moved Cameras to ESU4
Ports reorganization
</t>
  </si>
  <si>
    <t>00.11</t>
  </si>
  <si>
    <t>Added HVAC Cabin for Cab-Car type</t>
  </si>
  <si>
    <t>00.12</t>
  </si>
  <si>
    <t>ICB</t>
  </si>
  <si>
    <t>LIST tab: removed devices Driver Intercom C_A and Driver Intercom C_B
IP Address tab: clarified IP construction (bit layout)</t>
  </si>
  <si>
    <t>00.13</t>
  </si>
  <si>
    <r>
      <t xml:space="preserve">IP Address tab: </t>
    </r>
    <r>
      <rPr>
        <i/>
        <sz val="11"/>
        <color theme="1"/>
        <rFont val="Calibri"/>
        <family val="2"/>
        <scheme val="minor"/>
      </rPr>
      <t>TCMS VLAN</t>
    </r>
    <r>
      <rPr>
        <sz val="11"/>
        <color theme="1"/>
        <rFont val="Calibri"/>
        <family val="2"/>
        <scheme val="minor"/>
      </rPr>
      <t xml:space="preserve"> is now 0, and 110 becomes </t>
    </r>
    <r>
      <rPr>
        <i/>
        <sz val="11"/>
        <color theme="1"/>
        <rFont val="Calibri"/>
        <family val="2"/>
        <scheme val="minor"/>
      </rPr>
      <t>Spare 3 VLAN</t>
    </r>
    <r>
      <rPr>
        <sz val="11"/>
        <color theme="1"/>
        <rFont val="Calibri"/>
        <family val="2"/>
        <scheme val="minor"/>
      </rPr>
      <t>. 
Fixed IP addresses will be defined in coach 0 TCMS VLAN. Coach 1 will be the first valid coach.</t>
    </r>
  </si>
  <si>
    <t>00.14</t>
  </si>
  <si>
    <r>
      <t xml:space="preserve">Train IP Addressing tab:
Renamed TAE and  AccAxleBox to TAE AccAxleBox.
</t>
    </r>
    <r>
      <rPr>
        <sz val="11"/>
        <color rgb="FFFF0000"/>
        <rFont val="Calibri"/>
        <family val="2"/>
        <scheme val="minor"/>
      </rPr>
      <t>Moved TAE AccAxleBox in PRM from ESU 3 to ESU 2 e1.7 (requested by IEL team for an easier wiring)</t>
    </r>
  </si>
  <si>
    <t>00.16</t>
  </si>
  <si>
    <r>
      <t xml:space="preserve">Train IP Addressing tab:
Reviewed and renamed PA equipment
</t>
    </r>
    <r>
      <rPr>
        <sz val="11"/>
        <color rgb="FFFF0000"/>
        <rFont val="Calibri"/>
        <family val="2"/>
        <scheme val="minor"/>
      </rPr>
      <t xml:space="preserve">Added PA Intercom Next To Alarm Handler 2 (PES-NAH-2) in coach6 ESU2 e1.6
</t>
    </r>
    <r>
      <rPr>
        <sz val="11"/>
        <color theme="1"/>
        <rFont val="Calibri"/>
        <family val="2"/>
        <scheme val="minor"/>
      </rPr>
      <t>List tab:
Renamed and updated PA equipment</t>
    </r>
  </si>
  <si>
    <t>00.17</t>
  </si>
  <si>
    <t>28.04.2021</t>
  </si>
  <si>
    <r>
      <rPr>
        <sz val="11"/>
        <color rgb="FFFF0000"/>
        <rFont val="Calibri"/>
        <family val="2"/>
        <scheme val="minor"/>
      </rPr>
      <t>Removed ESU-1 port e1-4 in coach type 6</t>
    </r>
    <r>
      <rPr>
        <sz val="11"/>
        <color theme="1"/>
        <rFont val="Calibri"/>
        <family val="2"/>
        <scheme val="minor"/>
      </rPr>
      <t xml:space="preserve"> (PA Intercom Next To Alarm Handler 1 not mounted in family area coach)
Copied changes from 00.11 to 00.17 to the spreadsheet shared with IEL</t>
    </r>
  </si>
  <si>
    <t>00.18</t>
  </si>
  <si>
    <t>Defined VLAN proposal
Pending to rename PA Devices</t>
  </si>
  <si>
    <t>00.19</t>
  </si>
  <si>
    <t>18.05.2021</t>
  </si>
  <si>
    <t>Modified Service port (RJ45): 
  - Loco: Changed Service port to Service Port Cab2.
  - Loco: Added One Service Port for Cab1 
  - Cab-Car: Added one Service Port for cab</t>
  </si>
  <si>
    <t>00.20</t>
  </si>
  <si>
    <t>JH</t>
  </si>
  <si>
    <t>- Coach 6 is slave and has no DCU Fire deleted from e1-2</t>
  </si>
  <si>
    <t>00.21</t>
  </si>
  <si>
    <t>Renamed PA Devices
Updated VLAN Networks. Not reviewed</t>
  </si>
  <si>
    <t>00.22</t>
  </si>
  <si>
    <t>Included Switch IP Address.
Colored VLANS
Included Fixed IP Adresses
Updated Passenger Int 3 from Coach type 9</t>
  </si>
  <si>
    <t xml:space="preserve">00.24 
</t>
  </si>
  <si>
    <t>Fixed IP Addresses Table: Added virtual adresses to be reserved for Mobile Intercoms and DBS Primary
Fixed IP Addresses for switches: removed coach 0, added comments
Added coach type 8b to the train synoptic (same mapping as coach type 8)</t>
  </si>
  <si>
    <t>00.25</t>
  </si>
  <si>
    <t>ICB / SGM</t>
  </si>
  <si>
    <t>Fixed IP Addresses Table: Added virtual adress for PA ASC server Primary (10.0.0.50), and changed virtual addresses for Mobile Intercoms (10.0.0.51, 10.0.0.52 ,10.0.0.53, 10.0.0.54)
- Added Network Mask for each VLAN
IP Address of VCU_CH is set to the same of VCU_CHr. VCU_CH is dual-home device</t>
  </si>
  <si>
    <t>Changed picture of coach 8, external door wasn't drawn
DHS Coaches renamed to DHS Coaches (ZS)</t>
  </si>
  <si>
    <t xml:space="preserve">00.26 
</t>
  </si>
  <si>
    <t>JHG, AGG</t>
  </si>
  <si>
    <t>1. Added IP Addresses Table for the Ethernet train Backbone (ETB)
2. Rename DHS ZS to E2M ZS</t>
  </si>
  <si>
    <t>00.27</t>
  </si>
  <si>
    <t>1. Added 10.0.0.8 to Fixed IP Address table, for DBS (DataBase Server) Secondary</t>
  </si>
  <si>
    <t>00.28</t>
  </si>
  <si>
    <t>JHG</t>
  </si>
  <si>
    <t>1. Added 10.0.0.1 to Fixed IP Address table, for VRRP routing.</t>
  </si>
  <si>
    <t>00.29</t>
  </si>
  <si>
    <t>1. Deleted MIP service ports from the tables (IETBNs 1, port e1-3, in Locomotive. ESU3, port e1-0, in End-coach)
2. Deleted MCG ports from tables (ESU2, port e2-1, in Locomotive.n  ESU3, port e1-5, in End-coach)
3. Assigned VLAN7 (VLAN ID 6) to MIP ports 
4. Assigned VLAN7 (VLAN ID 6) to Ebula ports</t>
  </si>
  <si>
    <t>00.30</t>
  </si>
  <si>
    <t xml:space="preserve">1. Added 10.0.0.40, 10.0.0.41, 10.0.0.42, 10.0.0.43 to Fixed IP Address table, for TCU "rescuing" addresses. </t>
  </si>
  <si>
    <t>00.31</t>
  </si>
  <si>
    <t xml:space="preserve">Changed fixed IP addresses of the following devices:
-PA ASC Server Primary -&gt; 10.0.8.50		
-PA Mobile Intercom 1	-&gt; 10.0.8.51		
-PA Mobile Intercom 2	-&gt; 10.0.8.52		
-PA Mobile Intercom 3	-&gt; 10.0.8.53		
-PA Mobile Intercom 4	-&gt; 10.0.8.54		</t>
  </si>
  <si>
    <t>00.33</t>
  </si>
  <si>
    <t>Added fixed IP addresses for the inter-VLAN virtual gateways
Changed PAS ports from VLAN 2, to VLAN 6
Changed DBS ports form VLAN 2, to VLAN 1
'Changed fixed IP addresses of the following devices:
-MIP -&gt; 10.0.48.5		
-EBula Cab1 -&gt; 10.0.48.6		
-Ebula Cab2 - &gt; 10.0.48.47	
-CONV1 TCU1 -&gt; 10.0.24.40
-CONV1 TCU2 -&gt; 10.0.24.41
-CONV2 TCU1 -&gt; 10.0.24.42
-CONV2 TCU2 -&gt;10.0.24.43
-PA ASC Server Primary -&gt; 10.0.40.50		
-PA Mobile Intercom 1	-&gt; 10.0.40.51		
-PA Mobile Intercom 2	-&gt; 10.0.40.52		
-PA Mobile Intercom 3	-&gt; 10.0.40.53		
-PA Mobile Intercom 4	-&gt; 10.0.40.54</t>
  </si>
  <si>
    <t>00.34</t>
  </si>
  <si>
    <t>Added Reserved Fixed IP sheet. Removed table from other sheets
Added fixed IP addresses for DBS DHCP addresses:
-DBS Primary DHCP Locomotive -&gt; 10.0.0.20
-DBS Secondary DHCP Locomotive -&gt; 10.0.0.21
-DBS Primary DHCP Coaches -&gt; 10.0.0.22
-DBS Secondary DHCP Coaches -&gt; 10.0.0.23</t>
  </si>
  <si>
    <t>00.35</t>
  </si>
  <si>
    <t>Added MCG (VLAN7) in:
-Locomotive, ESU2, e2-1
-PMR coach, IETBN2, e1-0</t>
  </si>
  <si>
    <t>TCMS-OPERATION</t>
  </si>
  <si>
    <t>NAME VLAN</t>
  </si>
  <si>
    <t>VLAN ID</t>
  </si>
  <si>
    <t>BITS VLAN IP</t>
  </si>
  <si>
    <t>VLAN Byte</t>
  </si>
  <si>
    <t>Byte IP</t>
  </si>
  <si>
    <t>Network</t>
  </si>
  <si>
    <t>NetMask</t>
  </si>
  <si>
    <t>Mask:</t>
  </si>
  <si>
    <t>255.255.192.0</t>
  </si>
  <si>
    <t>11111111.11111111.11 000000.00000000</t>
  </si>
  <si>
    <t>VLANs
3 bits
&lt;XXX&gt;  </t>
  </si>
  <si>
    <t>255.255.248.0</t>
  </si>
  <si>
    <t>Network:    </t>
  </si>
  <si>
    <t>10.0.0.0/18          </t>
  </si>
  <si>
    <r>
      <t>0</t>
    </r>
    <r>
      <rPr>
        <sz val="10"/>
        <color rgb="FF909090"/>
        <rFont val="Arial Unicode MS"/>
        <family val="2"/>
      </rPr>
      <t>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</si>
  <si>
    <t>VLAN_2: 5 - TCMS: CDU, DDU, RIOM</t>
  </si>
  <si>
    <t>HostMin:</t>
  </si>
  <si>
    <t>10.0.0.1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</si>
  <si>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</si>
  <si>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VLAN_3: 5S - TCMS: VCU</t>
  </si>
  <si>
    <t>HostMax:</t>
  </si>
  <si>
    <t>10.0.63.254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</si>
  <si>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</si>
  <si>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VLAN_4: 5S 2 - TCMS: APS, doors, lighting, HVAC, DCU-fire, TAE, DCU-Radio, DHS, WC</t>
  </si>
  <si>
    <t>Broadcast:</t>
  </si>
  <si>
    <t>10.0.63.255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</si>
  <si>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</si>
  <si>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14 bits</t>
  </si>
  <si>
    <t>VLAN_5: 4 -LEG</t>
  </si>
  <si>
    <t>VLAN_6: CCTV, PA, ASC, UIC-GW</t>
  </si>
  <si>
    <t>Mask</t>
  </si>
  <si>
    <t>Bits</t>
  </si>
  <si>
    <t>Max VLAN</t>
  </si>
  <si>
    <t>Max Coaches</t>
  </si>
  <si>
    <t>Max devices per coach</t>
  </si>
  <si>
    <t>IP Address</t>
  </si>
  <si>
    <t>10.0.bit0-bit 0-&lt;bits VLAN&gt;&lt;bits COACH_H&gt;.&lt;bits COACH_L&gt;&lt;bits DEVICE&gt;</t>
  </si>
  <si>
    <t>Coach</t>
  </si>
  <si>
    <t>Where</t>
  </si>
  <si>
    <t>MASK</t>
  </si>
  <si>
    <t>MASK BIT</t>
  </si>
  <si>
    <t>&lt;COACH_H&gt;</t>
  </si>
  <si>
    <t>3 most significant bits</t>
  </si>
  <si>
    <t>&lt;COACH_L&gt;</t>
  </si>
  <si>
    <t>2 less significan bits</t>
  </si>
  <si>
    <t>Example IP:</t>
  </si>
  <si>
    <t>VLAN</t>
  </si>
  <si>
    <t>Final IP Address:</t>
  </si>
  <si>
    <t>F070</t>
  </si>
  <si>
    <t>NOMBRE </t>
  </si>
  <si>
    <t>DOMINIO IP</t>
  </si>
  <si>
    <t>COACH</t>
  </si>
  <si>
    <t>Binary:</t>
  </si>
  <si>
    <t>VLANs
(WWW)  </t>
  </si>
  <si>
    <t>GESTIÓN</t>
  </si>
  <si>
    <t>111    </t>
  </si>
  <si>
    <t>1      </t>
  </si>
  <si>
    <t>Device</t>
  </si>
  <si>
    <t>CCTV   </t>
  </si>
  <si>
    <t>001    </t>
  </si>
  <si>
    <t>3      </t>
  </si>
  <si>
    <t>Port</t>
  </si>
  <si>
    <t>MEGAFONÍA      </t>
  </si>
  <si>
    <t>010    </t>
  </si>
  <si>
    <t>4      </t>
  </si>
  <si>
    <t>INFO-ENTRETEN. </t>
  </si>
  <si>
    <t>011    </t>
  </si>
  <si>
    <t>5      </t>
  </si>
  <si>
    <t>Tren-Tierra    </t>
  </si>
  <si>
    <t>100    </t>
  </si>
  <si>
    <t>6      </t>
  </si>
  <si>
    <t xml:space="preserve">Fixed IPs sheet: </t>
  </si>
  <si>
    <t>Coach 0 reserved for fixed IPs. First coach will be coach 1.</t>
  </si>
  <si>
    <t>Enrutado TCMS/OPE.     </t>
  </si>
  <si>
    <t>101    </t>
  </si>
  <si>
    <t>7      </t>
  </si>
  <si>
    <t>Reserved Fixed IPs</t>
  </si>
  <si>
    <t>Fixed Ips for static servers</t>
  </si>
  <si>
    <t>NTP</t>
  </si>
  <si>
    <t>DNS</t>
  </si>
  <si>
    <t>….</t>
  </si>
  <si>
    <t>Coach Number</t>
  </si>
  <si>
    <t>L9215. Locomotive</t>
  </si>
  <si>
    <t>891.1 - C4328 - Coach Type 9. 2nd class end coach</t>
  </si>
  <si>
    <t>892.1/892.5- C4302C - Coach Type 8/8b. 2nd master coach with WC with/without  MTB</t>
  </si>
  <si>
    <t>892.3 - C4302S - Coach Type 7. 2nd master coach without WC</t>
  </si>
  <si>
    <t>892.7 - C4322 - Coach Type 6. 2nd class with Family Area</t>
  </si>
  <si>
    <t>892.9 - C4315 - Coach Type 5. 2nd class with Baby Area</t>
  </si>
  <si>
    <t>893.1 - C4314 - Coach Type 4. 2nd class coach PRM</t>
  </si>
  <si>
    <t>894.1 - C4306Coach Type 3. Bistro Coach</t>
  </si>
  <si>
    <t>895.1 - C4301 - Coach Type 2. First Class with WC</t>
  </si>
  <si>
    <t>896.1 - C4340 - Coach Type 1. First Class end coach Cab Car</t>
  </si>
  <si>
    <t>ID</t>
  </si>
  <si>
    <t>Port ID</t>
  </si>
  <si>
    <t>Direct IP</t>
  </si>
  <si>
    <t>ESU Management IP Address</t>
  </si>
  <si>
    <t>e1-0</t>
  </si>
  <si>
    <t>DDU Cab1</t>
  </si>
  <si>
    <t>RIOM_CAB_A</t>
  </si>
  <si>
    <t>RIOM_AUX1r</t>
  </si>
  <si>
    <t>VCU_CH</t>
  </si>
  <si>
    <t>LEG</t>
  </si>
  <si>
    <t>VCU1_PH</t>
  </si>
  <si>
    <t>VCU2_PH</t>
  </si>
  <si>
    <t>ESU1</t>
  </si>
  <si>
    <t>e1-1</t>
  </si>
  <si>
    <t>DDU Cab2</t>
  </si>
  <si>
    <t xml:space="preserve">                                                              </t>
  </si>
  <si>
    <t>ESU3</t>
  </si>
  <si>
    <t>IETBN 1</t>
  </si>
  <si>
    <t>DCU Radio Service</t>
  </si>
  <si>
    <t>DCU_Doors_left</t>
  </si>
  <si>
    <t>MIP *</t>
  </si>
  <si>
    <t>10.0.48.5</t>
  </si>
  <si>
    <t>IETBN1</t>
  </si>
  <si>
    <t>ZTF CDU</t>
  </si>
  <si>
    <t>DDU Cab</t>
  </si>
  <si>
    <t>RIOM_C_A</t>
  </si>
  <si>
    <t>e1-2</t>
  </si>
  <si>
    <t>DBS</t>
  </si>
  <si>
    <t>10.0.0.20</t>
  </si>
  <si>
    <t>RIOM_AT</t>
  </si>
  <si>
    <t>Service Port Cab1</t>
  </si>
  <si>
    <t>HVAC</t>
  </si>
  <si>
    <t>SSU</t>
  </si>
  <si>
    <t>PA_ASC</t>
  </si>
  <si>
    <t>HVAC Coaches</t>
  </si>
  <si>
    <t>e1-3</t>
  </si>
  <si>
    <t>RIOM_PUP_A</t>
  </si>
  <si>
    <t>PA Fixed Intercom 1 (PA_FI-1)</t>
  </si>
  <si>
    <t>TAE AccAxleBox</t>
  </si>
  <si>
    <t>PA Fixed Intercom 2 (PA_FI-2)</t>
  </si>
  <si>
    <t>e1-4</t>
  </si>
  <si>
    <t>RIOM_AUX1</t>
  </si>
  <si>
    <t>DCU Converter 1-1</t>
  </si>
  <si>
    <t>PA Intercom Next To Alarm Handler 1 (PES-NAH-1)</t>
  </si>
  <si>
    <t>PA Intercom Universal WC (PES_UWC)</t>
  </si>
  <si>
    <t>RIOM_PUP</t>
  </si>
  <si>
    <t>e1-5</t>
  </si>
  <si>
    <t>RIOM_AUX2</t>
  </si>
  <si>
    <t>EDL Converter</t>
  </si>
  <si>
    <t>PA Amplifier1 (PAU-1)</t>
  </si>
  <si>
    <t>PA_Intercom_PMR_Seats_1 (PES_PRMS-1)</t>
  </si>
  <si>
    <t>e1-6</t>
  </si>
  <si>
    <t>Ebula Cab1 *</t>
  </si>
  <si>
    <t>10.0.48.6</t>
  </si>
  <si>
    <t>RIOM_PUP_B</t>
  </si>
  <si>
    <t>DCU Converter 1-2</t>
  </si>
  <si>
    <t>PA Intercom Next To Alarm Handler 3 (PES-NAH-3)</t>
  </si>
  <si>
    <t>PA Passeng Int 3</t>
  </si>
  <si>
    <t xml:space="preserve">PA_UIC-GW-1 </t>
  </si>
  <si>
    <t>Ebula</t>
  </si>
  <si>
    <t>e1-7</t>
  </si>
  <si>
    <t>DCU Radio</t>
  </si>
  <si>
    <t>RIOM_CAB_B</t>
  </si>
  <si>
    <t>Ebula Cab2 *</t>
  </si>
  <si>
    <t>10.0.48.47</t>
  </si>
  <si>
    <t>10.0.0.22</t>
  </si>
  <si>
    <t>WC_1</t>
  </si>
  <si>
    <t>APS 1</t>
  </si>
  <si>
    <t>e2-0</t>
  </si>
  <si>
    <t>RIOM_ATr</t>
  </si>
  <si>
    <t>IETBN_1 (e2-0)</t>
  </si>
  <si>
    <t>ESU3 (e2-0)</t>
  </si>
  <si>
    <t>ESU1 (e2-0)</t>
  </si>
  <si>
    <t>e2-1</t>
  </si>
  <si>
    <t>IETBN_2 (e2-0)</t>
  </si>
  <si>
    <t>ESU4 (e2-0)</t>
  </si>
  <si>
    <t>ESU2 (e2-0)</t>
  </si>
  <si>
    <t>e0-0</t>
  </si>
  <si>
    <t>X</t>
  </si>
  <si>
    <t>ESU1 (e0-1)</t>
  </si>
  <si>
    <t>ESU1 (e0-1) (Previous Coach)</t>
  </si>
  <si>
    <t xml:space="preserve">ESU1 (e0-1) </t>
  </si>
  <si>
    <t>e0-1</t>
  </si>
  <si>
    <t>ESU3 (e0-0)</t>
  </si>
  <si>
    <t>ESU1 (e0-0)  (Next Coach)</t>
  </si>
  <si>
    <t xml:space="preserve">ESU3 (e0-0) </t>
  </si>
  <si>
    <t>e0-2</t>
  </si>
  <si>
    <t>ESU2 (e0-2)</t>
  </si>
  <si>
    <t>ESU4 (e0-2)</t>
  </si>
  <si>
    <t>e0-3</t>
  </si>
  <si>
    <t>ESU2 (e0-3)</t>
  </si>
  <si>
    <t>ESU4 (e0-3)</t>
  </si>
  <si>
    <t>,</t>
  </si>
  <si>
    <t>DDU Cab1r</t>
  </si>
  <si>
    <t>RIOM_CAB_Ar</t>
  </si>
  <si>
    <t>DCU HVAC Cab B</t>
  </si>
  <si>
    <t>VCU_CHr</t>
  </si>
  <si>
    <t>MCG</t>
  </si>
  <si>
    <t>VCU1_PHr</t>
  </si>
  <si>
    <t>VCU2_PHr</t>
  </si>
  <si>
    <t>ESU2</t>
  </si>
  <si>
    <t>DDU Cab2r</t>
  </si>
  <si>
    <t>ESU4 (PoE)</t>
  </si>
  <si>
    <t>RearCam A Left</t>
  </si>
  <si>
    <t>IETBN 2</t>
  </si>
  <si>
    <t>DCU_Doors_rigth</t>
  </si>
  <si>
    <t>IETBN2</t>
  </si>
  <si>
    <t>PRM_WC_DOOR</t>
  </si>
  <si>
    <t>DDU Cabr</t>
  </si>
  <si>
    <t>RIOM_C_Ar</t>
  </si>
  <si>
    <t>DBSr</t>
  </si>
  <si>
    <t>10.0.0.21</t>
  </si>
  <si>
    <t>RearCam A Right</t>
  </si>
  <si>
    <t>DHS</t>
  </si>
  <si>
    <t>DCU Fire</t>
  </si>
  <si>
    <t>PA_ASCr</t>
  </si>
  <si>
    <t>DCU Catering Galley</t>
  </si>
  <si>
    <t>RearCam B Left</t>
  </si>
  <si>
    <t>Floor Management</t>
  </si>
  <si>
    <t>FB_InteriorLigth</t>
  </si>
  <si>
    <t>HVAC Cabin</t>
  </si>
  <si>
    <t>RearCam B Right</t>
  </si>
  <si>
    <t>DCU Converter 2-1</t>
  </si>
  <si>
    <t>PA WLAN Access Point (WLAN_AP)</t>
  </si>
  <si>
    <t>PA_MAMG-GW</t>
  </si>
  <si>
    <t>RIOM_PUPr</t>
  </si>
  <si>
    <t>RIOM_AUX2r</t>
  </si>
  <si>
    <t>E2M Coaches (ZS)</t>
  </si>
  <si>
    <t>PA Intercom Next To Alarm Handler 2 (PES-NAH-2)</t>
  </si>
  <si>
    <t>PA_Intercom_PMR_Seats_2 (PES_PRMS-2)</t>
  </si>
  <si>
    <t>Rear Camera Left</t>
  </si>
  <si>
    <t>DCU HVAC Cab A</t>
  </si>
  <si>
    <t>RIOM_PUP_Br</t>
  </si>
  <si>
    <t>DCU Converter 2-2</t>
  </si>
  <si>
    <t>PA Amplifier2 (PAU-2)</t>
  </si>
  <si>
    <t>PA_Intercom_PMR_Seats_3 (PES_PRMS-3)</t>
  </si>
  <si>
    <t>Rear Camera Right</t>
  </si>
  <si>
    <t>RIOM_CAB_Br</t>
  </si>
  <si>
    <t>Service Port Cab2</t>
  </si>
  <si>
    <t>10.0.0.23</t>
  </si>
  <si>
    <t>WC_2</t>
  </si>
  <si>
    <t xml:space="preserve">PA_UIC-GW-2 </t>
  </si>
  <si>
    <t>DCU Radio Service Port</t>
  </si>
  <si>
    <t>APS 2</t>
  </si>
  <si>
    <t>RIOM_PUP_Ar</t>
  </si>
  <si>
    <t>IETBN_1r (e2-1)</t>
  </si>
  <si>
    <t>ESU3 (e2-1)</t>
  </si>
  <si>
    <t>ESU3r (e2-1)</t>
  </si>
  <si>
    <t>ESU1 (e2-1)</t>
  </si>
  <si>
    <t>IETBN_2r (e2-1)</t>
  </si>
  <si>
    <t>ESU4 (e2-1)</t>
  </si>
  <si>
    <t>ESU2 (e2-1)</t>
  </si>
  <si>
    <t>ESU2 (e0-1)</t>
  </si>
  <si>
    <t>ESU2 (e0-1) (Previous Coach)</t>
  </si>
  <si>
    <t xml:space="preserve">ESU2 (e0-1) </t>
  </si>
  <si>
    <t>ESU4 (e0-0)</t>
  </si>
  <si>
    <t>ESU2 (e0-0) (Next Coach)</t>
  </si>
  <si>
    <t>ESU1 (e0-2)</t>
  </si>
  <si>
    <t>ESU3 (e0-2)</t>
  </si>
  <si>
    <t>ESU1 (e0-3)</t>
  </si>
  <si>
    <t>ESU3 (e0-3)</t>
  </si>
  <si>
    <t>Fixed IP Addresses for switches</t>
  </si>
  <si>
    <t>ESU ID</t>
  </si>
  <si>
    <t>ESU IP</t>
  </si>
  <si>
    <t>Repeated (check IP addresses for switches are not assigned to other systems)</t>
  </si>
  <si>
    <t>Network (Consins nº s):    </t>
  </si>
  <si>
    <t>10.128.0.0/18          </t>
  </si>
  <si>
    <t>00001010.1000ssss.ss 000000.00000000</t>
  </si>
  <si>
    <t>10.128.0.1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</si>
  <si>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1000ssss.ss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</si>
  <si>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10.128.63.254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</si>
  <si>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1000ssss.ss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</si>
  <si>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10.128.63.255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</si>
  <si>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ss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</si>
  <si>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Max consist</t>
  </si>
  <si>
    <t>10.&lt;bits 1 0 0 0&gt;&lt;CONSIST_H&gt;.&lt;CONSIST_L&gt;&lt;VLAN&gt;&lt;COACH_H&gt;.&lt;COACH_L&gt;&lt;DEVICE&gt;</t>
  </si>
  <si>
    <t xml:space="preserve">Consists </t>
  </si>
  <si>
    <t>DEC</t>
  </si>
  <si>
    <t>BIN</t>
  </si>
  <si>
    <t>&lt;CONSIST_H&gt;</t>
  </si>
  <si>
    <t>4 most significant bits</t>
  </si>
  <si>
    <t>&lt;CONSIST_L&gt;</t>
  </si>
  <si>
    <t>1º Oct</t>
  </si>
  <si>
    <t>2º Oct</t>
  </si>
  <si>
    <t>3º Oct</t>
  </si>
  <si>
    <t>4º Oct</t>
  </si>
  <si>
    <t>CONSIST</t>
  </si>
  <si>
    <t>IP:</t>
  </si>
  <si>
    <t>IP(bin):</t>
  </si>
  <si>
    <t xml:space="preserve">IP Formula </t>
  </si>
  <si>
    <t>IP switch</t>
  </si>
  <si>
    <t>Consist Number</t>
  </si>
  <si>
    <t>IP address</t>
  </si>
  <si>
    <t>VLAN nº</t>
  </si>
  <si>
    <t>Virtual Coach nº</t>
  </si>
  <si>
    <t>Device nº</t>
  </si>
  <si>
    <t>VRRP ETB &amp; VLAN1</t>
  </si>
  <si>
    <t>VRRP VLAN 2</t>
  </si>
  <si>
    <t>10.0.8.1</t>
  </si>
  <si>
    <t>VRRP VLAN 3</t>
  </si>
  <si>
    <t>10.0.16.1</t>
  </si>
  <si>
    <t>VRRP VLAN 4</t>
  </si>
  <si>
    <t>10.0.24.1</t>
  </si>
  <si>
    <t>VRRP VLAN 5</t>
  </si>
  <si>
    <t>10.0.32.1</t>
  </si>
  <si>
    <t>VRRP VLAN 6</t>
  </si>
  <si>
    <t>10.0.40.1</t>
  </si>
  <si>
    <t>VRRP VLAN 7</t>
  </si>
  <si>
    <t>10.0.48.1</t>
  </si>
  <si>
    <t>VRRP VLAN 8</t>
  </si>
  <si>
    <t>10.0.56.1</t>
  </si>
  <si>
    <t>MIP</t>
  </si>
  <si>
    <t>EBula Cab1</t>
  </si>
  <si>
    <t>Ebula Cab2</t>
  </si>
  <si>
    <t>DBS (DataBase Server) Fixed Primary</t>
  </si>
  <si>
    <t>10.0.0.7</t>
  </si>
  <si>
    <t>DBS (DataBase Server) Fixed Secondary</t>
  </si>
  <si>
    <t>10.0.0.8</t>
  </si>
  <si>
    <t>DBS Primary DHCP Locomotive</t>
  </si>
  <si>
    <t>DBS Secondary DHCP Locomotive</t>
  </si>
  <si>
    <t>DBS Primary DHCP Coaches</t>
  </si>
  <si>
    <t>DBS Secondary DHCP Coaches</t>
  </si>
  <si>
    <t>NTP Server 1</t>
  </si>
  <si>
    <t>10.0.0.10</t>
  </si>
  <si>
    <t>NTP Server 2</t>
  </si>
  <si>
    <t>10.0.0.11</t>
  </si>
  <si>
    <t>DNS Server</t>
  </si>
  <si>
    <t>10.0.0.15</t>
  </si>
  <si>
    <t>CONV1 TCU1</t>
  </si>
  <si>
    <t>10.0.24.40</t>
  </si>
  <si>
    <t>CONV1 TCU2</t>
  </si>
  <si>
    <t>10.0.24.41</t>
  </si>
  <si>
    <t>CONV2 TCU1</t>
  </si>
  <si>
    <t>10.0.24.42</t>
  </si>
  <si>
    <t>CONV2 TCU2</t>
  </si>
  <si>
    <t>10.0.24.43</t>
  </si>
  <si>
    <t>PA ASC Server Primary</t>
  </si>
  <si>
    <t>10.0.40.50</t>
  </si>
  <si>
    <t>PA Mobile Intercom 1</t>
  </si>
  <si>
    <t>10.0.40.51</t>
  </si>
  <si>
    <t>PA Mobile Intercom 2</t>
  </si>
  <si>
    <t>10.0.40.52</t>
  </si>
  <si>
    <t>PA Mobile Intercom 3</t>
  </si>
  <si>
    <t>10.0.40.53</t>
  </si>
  <si>
    <t>PA Mobile Intercom 4</t>
  </si>
  <si>
    <t>10.0.40.54</t>
  </si>
  <si>
    <t>Router SVI 1 VLAN2</t>
  </si>
  <si>
    <t>10.0.15.248</t>
  </si>
  <si>
    <t>Router SVI 2 VLAN2</t>
  </si>
  <si>
    <t>10.0.15.249</t>
  </si>
  <si>
    <t>Router SVI 3 VLAN2</t>
  </si>
  <si>
    <t>10.0.15.250</t>
  </si>
  <si>
    <t>Router SVI 4 VLAN2</t>
  </si>
  <si>
    <t>10.0.15.251</t>
  </si>
  <si>
    <t>Router SVI 5 VLAN2</t>
  </si>
  <si>
    <t>10.0.15.252</t>
  </si>
  <si>
    <t>Router SVI 6 VLAN2</t>
  </si>
  <si>
    <t>10.0.15.253</t>
  </si>
  <si>
    <t>Router SVI 7 VLAN2</t>
  </si>
  <si>
    <t>10.0.15.254</t>
  </si>
  <si>
    <t>Router SVI 1 VLAN3</t>
  </si>
  <si>
    <t>10.0.23.248</t>
  </si>
  <si>
    <t>Router SVI 2 VLAN3</t>
  </si>
  <si>
    <t>10.0.23.249</t>
  </si>
  <si>
    <t>Router SVI 3 VLAN3</t>
  </si>
  <si>
    <t>10.0.23.250</t>
  </si>
  <si>
    <t>Router SVI 4 VLAN3</t>
  </si>
  <si>
    <t>10.0.23.251</t>
  </si>
  <si>
    <t>Router SVI 5 VLAN3</t>
  </si>
  <si>
    <t>10.0.23.252</t>
  </si>
  <si>
    <t>Router SVI 6 VLAN3</t>
  </si>
  <si>
    <t>10.0.23.253</t>
  </si>
  <si>
    <t>Router SVI 7 VLAN3</t>
  </si>
  <si>
    <t>10.0.23.254</t>
  </si>
  <si>
    <t>Router SVI 1 VLAN4</t>
  </si>
  <si>
    <t>10.0.31.248</t>
  </si>
  <si>
    <t>Router SVI 2 VLAN4</t>
  </si>
  <si>
    <t>10.0.31.249</t>
  </si>
  <si>
    <t>Router SVI 3 VLAN4</t>
  </si>
  <si>
    <t>10.0.31.250</t>
  </si>
  <si>
    <t>Router SVI 4 VLAN4</t>
  </si>
  <si>
    <t>10.0.31.251</t>
  </si>
  <si>
    <t>Router SVI 5 VLAN4</t>
  </si>
  <si>
    <t>10.0.31.252</t>
  </si>
  <si>
    <t>Router SVI 6 VLAN4</t>
  </si>
  <si>
    <t>10.0.31.253</t>
  </si>
  <si>
    <t>Router SVI 7 VLAN4</t>
  </si>
  <si>
    <t>10.0.31.254</t>
  </si>
  <si>
    <t>Router SVI 1 VLAN5</t>
  </si>
  <si>
    <t>10.0.39.248</t>
  </si>
  <si>
    <t>Router SVI 2 VLAN5</t>
  </si>
  <si>
    <t>10.0.39.249</t>
  </si>
  <si>
    <t>Router SVI 3 VLAN5</t>
  </si>
  <si>
    <t>10.0.39.250</t>
  </si>
  <si>
    <t>Router SVI 4 VLAN5</t>
  </si>
  <si>
    <t>10.0.39.251</t>
  </si>
  <si>
    <t>Router SVI 5 VLAN5</t>
  </si>
  <si>
    <t>10.0.39.252</t>
  </si>
  <si>
    <t>Router SVI 6 VLAN5</t>
  </si>
  <si>
    <t>10.0.39.253</t>
  </si>
  <si>
    <t>Router SVI 7 VLAN5</t>
  </si>
  <si>
    <t>10.0.39.254</t>
  </si>
  <si>
    <t>Router SVI 1 VLAN6</t>
  </si>
  <si>
    <t>10.0.47.248</t>
  </si>
  <si>
    <t>Router SVI 2 VLAN6</t>
  </si>
  <si>
    <t>10.0.47.249</t>
  </si>
  <si>
    <t>Router SVI 3 VLAN6</t>
  </si>
  <si>
    <t>10.0.47.250</t>
  </si>
  <si>
    <t>Router SVI 4 VLAN6</t>
  </si>
  <si>
    <t>10.0.47.251</t>
  </si>
  <si>
    <t>Router SVI 5 VLAN6</t>
  </si>
  <si>
    <t>10.0.47.252</t>
  </si>
  <si>
    <t>Router SVI 6 VLAN6</t>
  </si>
  <si>
    <t>10.0.47.253</t>
  </si>
  <si>
    <t>Router SVI 7 VLAN6</t>
  </si>
  <si>
    <t>10.0.47.254</t>
  </si>
  <si>
    <t>Router SVI 1 VLAN7</t>
  </si>
  <si>
    <t>10.0.55.248</t>
  </si>
  <si>
    <t>Router SVI 2 VLAN7</t>
  </si>
  <si>
    <t>10.0.55.249</t>
  </si>
  <si>
    <t>Router SVI 3 VLAN7</t>
  </si>
  <si>
    <t>10.0.55.250</t>
  </si>
  <si>
    <t>Router SVI 4 VLAN7</t>
  </si>
  <si>
    <t>10.0.55.251</t>
  </si>
  <si>
    <t>Router SVI 5 VLAN7</t>
  </si>
  <si>
    <t>10.0.55.252</t>
  </si>
  <si>
    <t>Router SVI 6 VLAN7</t>
  </si>
  <si>
    <t>10.0.55.253</t>
  </si>
  <si>
    <t>Router SVI 7 VLAN7</t>
  </si>
  <si>
    <t>10.0.55.254</t>
  </si>
  <si>
    <t>Router SVI 1 VLAN8</t>
  </si>
  <si>
    <t>10.0.63.248</t>
  </si>
  <si>
    <t>Router SVI 2 VLAN8</t>
  </si>
  <si>
    <t>10.0.63.249</t>
  </si>
  <si>
    <t>Router SVI 3 VLAN8</t>
  </si>
  <si>
    <t>10.0.63.250</t>
  </si>
  <si>
    <t>Router SVI 4 VLAN8</t>
  </si>
  <si>
    <t>10.0.63.251</t>
  </si>
  <si>
    <t>Router SVI 5 VLAN8</t>
  </si>
  <si>
    <t>10.0.63.252</t>
  </si>
  <si>
    <t>Router SVI 6 VLAN8</t>
  </si>
  <si>
    <t>10.0.63.253</t>
  </si>
  <si>
    <t>Router SVI 7 VLAN8</t>
  </si>
  <si>
    <t>Coche</t>
  </si>
  <si>
    <t>T9</t>
  </si>
  <si>
    <t>T8-5</t>
  </si>
  <si>
    <t>T7-4</t>
  </si>
  <si>
    <t>T8-4</t>
  </si>
  <si>
    <t>T7-3</t>
  </si>
  <si>
    <t>T8-3</t>
  </si>
  <si>
    <t>T7-2</t>
  </si>
  <si>
    <t>T8-2</t>
  </si>
  <si>
    <t>T7-1</t>
  </si>
  <si>
    <t>T8-1</t>
  </si>
  <si>
    <t>T6</t>
  </si>
  <si>
    <t>T5</t>
  </si>
  <si>
    <t>T4</t>
  </si>
  <si>
    <t>T3</t>
  </si>
  <si>
    <t>T2-2</t>
  </si>
  <si>
    <t>T2-1</t>
  </si>
  <si>
    <t>T1</t>
  </si>
  <si>
    <t>00.36</t>
  </si>
  <si>
    <t>Changed SSU from VLAN7 (MIP, MCG), to VLAN8 (Service Ports)
Changed free ports from VLAN1 (network), to VLAN8 (Service Ports)
Changed SVI VLAN1 IPs of router nodes, to fixed IPs:
    -Locomotive: ESU1, ESU2, ESU3, ESU4, IETBN1, IETBN2
    -Endcar: ESU1, ESU2
    -PMR: ESU1, ESU2, IETBN1, IETBN2
Fix IPs for conections between ESUs and IETBNs</t>
  </si>
  <si>
    <t>10.0.7.248</t>
  </si>
  <si>
    <t>10.0.7.249</t>
  </si>
  <si>
    <t>10.0.7.250</t>
  </si>
  <si>
    <t>10.0.7.251</t>
  </si>
  <si>
    <t>10.0.7.252</t>
  </si>
  <si>
    <t>10.0.7.253</t>
  </si>
  <si>
    <t>00.37</t>
  </si>
  <si>
    <t>Router SVI 1 VLAN1</t>
  </si>
  <si>
    <t>Router SVI 2 VLAN1</t>
  </si>
  <si>
    <t>Router SVI 3 VLAN1</t>
  </si>
  <si>
    <t>Router SVI 4 VLAN1</t>
  </si>
  <si>
    <t>Router SVI 5 VLAN1</t>
  </si>
  <si>
    <t>Router SVI 6 VLAN1</t>
  </si>
  <si>
    <t>Router SVI 7 VLAN1</t>
  </si>
  <si>
    <t>10.0.7.254</t>
  </si>
  <si>
    <t>VLAN_1: NETWORK MANAGEMENT,  Service Ports, SSU</t>
  </si>
  <si>
    <t>VLAN_7: 2 - DMZ MCG - MIP, EBüLa</t>
  </si>
  <si>
    <t>VLAN_8: DBS</t>
  </si>
  <si>
    <t>Moved SSU, service ports, and free ports, from VLAN8 to VLAN1
Moved DBS from VLAN1 to VLAN8
Changed IP ranges assigned to VLAN8 and VLAN1:
   - VLAN8: 10.0.0.0/21 (before, it was 10.0.56.0/21)
   - VLAN1: 10.0.56.0/21 (before, it was 10.0.0.0/21)
Changed IPs of network switches, to be inside new VLAN1 IP range (10.0.56.0/21)</t>
  </si>
  <si>
    <t>10.0.32.20</t>
  </si>
  <si>
    <t>00.38</t>
  </si>
  <si>
    <t>Reserved fixed IP for LEG device (10.0.32.20)</t>
  </si>
  <si>
    <t>894.1 - C4306 Coach Type 3. Bistro Coach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</si>
</sst>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rgb="FF000000"/>
      <name val="Arial Unicode MS"/>
      <family val="2"/>
    </font>
    <font>
      <sz val="10"/>
      <color rgb="FF0000FF"/>
      <name val="Arial Unicode MS"/>
      <family val="2"/>
    </font>
    <font>
      <sz val="10"/>
      <color rgb="FF909090"/>
      <name val="Arial Unicode MS"/>
      <family val="2"/>
    </font>
    <font>
      <b/>
      <sz val="11"/>
      <color theme="3" tint="0.39997558519241921"/>
      <name val="Calibri"/>
      <family val="2"/>
      <scheme val="minor"/>
    </font>
    <font>
      <sz val="11"/>
      <color rgb="FFFF0000"/>
      <name val="Times New Roman"/>
      <family val="1"/>
    </font>
    <font>
      <b/>
      <u/>
      <sz val="16"/>
      <color indexed="8"/>
      <name val="Calibri"/>
      <family val="2"/>
    </font>
    <font>
      <b/>
      <sz val="11"/>
      <color indexed="8"/>
      <name val="Calibri"/>
      <family val="2"/>
    </font>
    <font>
      <strike/>
      <sz val="11"/>
      <color theme="6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0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5" xfId="0" applyBorder="1"/>
    <xf numFmtId="0" fontId="0" fillId="3" borderId="5" xfId="0" applyFill="1" applyBorder="1"/>
    <xf numFmtId="0" fontId="0" fillId="0" borderId="6" xfId="0" applyBorder="1"/>
    <xf numFmtId="0" fontId="0" fillId="4" borderId="5" xfId="0" applyFill="1" applyBorder="1"/>
    <xf numFmtId="0" fontId="0" fillId="4" borderId="1" xfId="0" applyFill="1" applyBorder="1"/>
    <xf numFmtId="0" fontId="0" fillId="4" borderId="7" xfId="0" applyFill="1" applyBorder="1"/>
    <xf numFmtId="0" fontId="0" fillId="4" borderId="15" xfId="0" applyFill="1" applyBorder="1"/>
    <xf numFmtId="0" fontId="0" fillId="0" borderId="16" xfId="0" applyBorder="1"/>
    <xf numFmtId="0" fontId="0" fillId="0" borderId="17" xfId="0" applyBorder="1"/>
    <xf numFmtId="0" fontId="0" fillId="3" borderId="17" xfId="0" applyFill="1" applyBorder="1"/>
    <xf numFmtId="0" fontId="0" fillId="3" borderId="8" xfId="0" applyFill="1" applyBorder="1"/>
    <xf numFmtId="0" fontId="0" fillId="3" borderId="18" xfId="0" applyFill="1" applyBorder="1"/>
    <xf numFmtId="0" fontId="0" fillId="4" borderId="6" xfId="0" applyFill="1" applyBorder="1"/>
    <xf numFmtId="0" fontId="0" fillId="4" borderId="3" xfId="0" applyFill="1" applyBorder="1"/>
    <xf numFmtId="0" fontId="0" fillId="4" borderId="17" xfId="0" applyFill="1" applyBorder="1"/>
    <xf numFmtId="0" fontId="0" fillId="4" borderId="2" xfId="0" applyFill="1" applyBorder="1"/>
    <xf numFmtId="0" fontId="0" fillId="4" borderId="8" xfId="0" applyFill="1" applyBorder="1"/>
    <xf numFmtId="0" fontId="0" fillId="4" borderId="18" xfId="0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4" xfId="0" applyFill="1" applyBorder="1"/>
    <xf numFmtId="0" fontId="0" fillId="4" borderId="29" xfId="0" applyFill="1" applyBorder="1"/>
    <xf numFmtId="0" fontId="0" fillId="4" borderId="14" xfId="0" applyFill="1" applyBorder="1"/>
    <xf numFmtId="0" fontId="0" fillId="0" borderId="9" xfId="0" applyBorder="1"/>
    <xf numFmtId="0" fontId="0" fillId="3" borderId="9" xfId="0" applyFill="1" applyBorder="1"/>
    <xf numFmtId="0" fontId="0" fillId="3" borderId="31" xfId="0" applyFill="1" applyBorder="1"/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5" xfId="0" applyFont="1" applyBorder="1"/>
    <xf numFmtId="0" fontId="5" fillId="0" borderId="5" xfId="0" applyFont="1" applyBorder="1"/>
    <xf numFmtId="0" fontId="6" fillId="0" borderId="5" xfId="0" applyFont="1" applyBorder="1"/>
    <xf numFmtId="0" fontId="5" fillId="0" borderId="6" xfId="0" applyFont="1" applyBorder="1"/>
    <xf numFmtId="0" fontId="0" fillId="5" borderId="0" xfId="0" applyFill="1"/>
    <xf numFmtId="0" fontId="6" fillId="3" borderId="5" xfId="0" applyFont="1" applyFill="1" applyBorder="1"/>
    <xf numFmtId="0" fontId="0" fillId="0" borderId="1" xfId="0" applyBorder="1"/>
    <xf numFmtId="0" fontId="0" fillId="0" borderId="7" xfId="0" applyBorder="1"/>
    <xf numFmtId="0" fontId="0" fillId="0" borderId="15" xfId="0" applyBorder="1"/>
    <xf numFmtId="0" fontId="0" fillId="0" borderId="3" xfId="0" applyBorder="1"/>
    <xf numFmtId="0" fontId="0" fillId="0" borderId="8" xfId="0" applyBorder="1"/>
    <xf numFmtId="0" fontId="0" fillId="0" borderId="18" xfId="0" applyBorder="1"/>
    <xf numFmtId="0" fontId="0" fillId="0" borderId="36" xfId="0" applyBorder="1"/>
    <xf numFmtId="0" fontId="4" fillId="0" borderId="35" xfId="0" applyFont="1" applyBorder="1" applyAlignment="1">
      <alignment horizontal="center" vertical="center" wrapText="1"/>
    </xf>
    <xf numFmtId="0" fontId="0" fillId="0" borderId="35" xfId="0" applyBorder="1"/>
    <xf numFmtId="0" fontId="11" fillId="0" borderId="35" xfId="0" applyFont="1" applyBorder="1" applyAlignment="1">
      <alignment horizontal="center"/>
    </xf>
    <xf numFmtId="0" fontId="12" fillId="5" borderId="38" xfId="0" applyFont="1" applyFill="1" applyBorder="1"/>
    <xf numFmtId="0" fontId="0" fillId="3" borderId="3" xfId="0" applyFill="1" applyBorder="1"/>
    <xf numFmtId="0" fontId="0" fillId="3" borderId="2" xfId="0" applyFill="1" applyBorder="1"/>
    <xf numFmtId="0" fontId="4" fillId="0" borderId="22" xfId="0" applyFont="1" applyBorder="1" applyAlignment="1">
      <alignment horizontal="center" vertical="center" wrapText="1"/>
    </xf>
    <xf numFmtId="0" fontId="5" fillId="0" borderId="7" xfId="0" applyFont="1" applyBorder="1"/>
    <xf numFmtId="0" fontId="9" fillId="0" borderId="5" xfId="0" applyFont="1" applyBorder="1" applyAlignment="1">
      <alignment vertical="center" wrapText="1"/>
    </xf>
    <xf numFmtId="49" fontId="10" fillId="0" borderId="15" xfId="0" applyNumberFormat="1" applyFont="1" applyBorder="1" applyAlignment="1">
      <alignment wrapText="1"/>
    </xf>
    <xf numFmtId="0" fontId="8" fillId="0" borderId="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9" fillId="0" borderId="8" xfId="0" applyFont="1" applyBorder="1" applyAlignment="1">
      <alignment vertical="center" wrapText="1"/>
    </xf>
    <xf numFmtId="0" fontId="10" fillId="0" borderId="18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3" fillId="3" borderId="8" xfId="0" applyFont="1" applyFill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4" fillId="3" borderId="41" xfId="0" applyFont="1" applyFill="1" applyBorder="1" applyAlignment="1">
      <alignment horizontal="center"/>
    </xf>
    <xf numFmtId="0" fontId="14" fillId="3" borderId="28" xfId="0" applyFont="1" applyFill="1" applyBorder="1" applyAlignment="1">
      <alignment horizontal="center"/>
    </xf>
    <xf numFmtId="0" fontId="14" fillId="3" borderId="42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43" xfId="0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43" xfId="0" applyBorder="1" applyAlignment="1">
      <alignment horizontal="center"/>
    </xf>
    <xf numFmtId="0" fontId="3" fillId="3" borderId="5" xfId="0" applyFont="1" applyFill="1" applyBorder="1"/>
    <xf numFmtId="0" fontId="15" fillId="0" borderId="5" xfId="0" applyFont="1" applyBorder="1"/>
    <xf numFmtId="0" fontId="0" fillId="10" borderId="41" xfId="0" applyFill="1" applyBorder="1"/>
    <xf numFmtId="0" fontId="0" fillId="10" borderId="44" xfId="0" applyFill="1" applyBorder="1"/>
    <xf numFmtId="0" fontId="0" fillId="10" borderId="34" xfId="0" applyFill="1" applyBorder="1"/>
    <xf numFmtId="0" fontId="0" fillId="10" borderId="45" xfId="0" applyFill="1" applyBorder="1"/>
    <xf numFmtId="0" fontId="0" fillId="10" borderId="46" xfId="0" applyFill="1" applyBorder="1"/>
    <xf numFmtId="0" fontId="0" fillId="10" borderId="47" xfId="0" applyFill="1" applyBorder="1"/>
    <xf numFmtId="0" fontId="16" fillId="10" borderId="28" xfId="0" applyFont="1" applyFill="1" applyBorder="1"/>
    <xf numFmtId="0" fontId="16" fillId="10" borderId="34" xfId="0" applyFont="1" applyFill="1" applyBorder="1"/>
    <xf numFmtId="0" fontId="16" fillId="4" borderId="4" xfId="0" applyFont="1" applyFill="1" applyBorder="1"/>
    <xf numFmtId="0" fontId="16" fillId="10" borderId="41" xfId="0" applyFont="1" applyFill="1" applyBorder="1"/>
    <xf numFmtId="0" fontId="16" fillId="10" borderId="44" xfId="0" applyFont="1" applyFill="1" applyBorder="1"/>
    <xf numFmtId="0" fontId="16" fillId="10" borderId="30" xfId="0" applyFont="1" applyFill="1" applyBorder="1"/>
    <xf numFmtId="0" fontId="16" fillId="10" borderId="47" xfId="0" applyFont="1" applyFill="1" applyBorder="1"/>
    <xf numFmtId="0" fontId="16" fillId="10" borderId="45" xfId="0" applyFont="1" applyFill="1" applyBorder="1"/>
    <xf numFmtId="0" fontId="16" fillId="10" borderId="46" xfId="0" applyFont="1" applyFill="1" applyBorder="1"/>
    <xf numFmtId="0" fontId="0" fillId="0" borderId="2" xfId="0" applyBorder="1"/>
    <xf numFmtId="0" fontId="0" fillId="6" borderId="35" xfId="0" applyFill="1" applyBorder="1"/>
    <xf numFmtId="0" fontId="0" fillId="6" borderId="22" xfId="0" applyFill="1" applyBorder="1"/>
    <xf numFmtId="0" fontId="0" fillId="6" borderId="13" xfId="0" applyFill="1" applyBorder="1"/>
    <xf numFmtId="0" fontId="1" fillId="6" borderId="35" xfId="0" applyFont="1" applyFill="1" applyBorder="1"/>
    <xf numFmtId="0" fontId="0" fillId="9" borderId="35" xfId="0" applyFill="1" applyBorder="1"/>
    <xf numFmtId="0" fontId="1" fillId="8" borderId="35" xfId="0" applyFont="1" applyFill="1" applyBorder="1"/>
    <xf numFmtId="0" fontId="0" fillId="8" borderId="36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" xfId="0" applyFill="1" applyBorder="1"/>
    <xf numFmtId="0" fontId="0" fillId="8" borderId="16" xfId="0" applyFill="1" applyBorder="1"/>
    <xf numFmtId="0" fontId="1" fillId="8" borderId="10" xfId="0" applyFont="1" applyFill="1" applyBorder="1"/>
    <xf numFmtId="0" fontId="1" fillId="8" borderId="6" xfId="0" applyFont="1" applyFill="1" applyBorder="1"/>
    <xf numFmtId="0" fontId="0" fillId="8" borderId="5" xfId="0" applyFill="1" applyBorder="1"/>
    <xf numFmtId="0" fontId="0" fillId="8" borderId="17" xfId="0" applyFill="1" applyBorder="1"/>
    <xf numFmtId="0" fontId="1" fillId="8" borderId="3" xfId="0" applyFont="1" applyFill="1" applyBorder="1"/>
    <xf numFmtId="0" fontId="0" fillId="8" borderId="9" xfId="0" applyFill="1" applyBorder="1"/>
    <xf numFmtId="0" fontId="1" fillId="8" borderId="2" xfId="0" applyFont="1" applyFill="1" applyBorder="1"/>
    <xf numFmtId="0" fontId="0" fillId="8" borderId="18" xfId="0" applyFill="1" applyBorder="1"/>
    <xf numFmtId="0" fontId="0" fillId="8" borderId="31" xfId="0" applyFill="1" applyBorder="1"/>
    <xf numFmtId="0" fontId="0" fillId="8" borderId="8" xfId="0" applyFill="1" applyBorder="1"/>
    <xf numFmtId="0" fontId="7" fillId="0" borderId="0" xfId="0" applyFont="1" applyAlignment="1">
      <alignment vertical="center" wrapText="1"/>
    </xf>
    <xf numFmtId="0" fontId="6" fillId="0" borderId="0" xfId="0" applyFont="1"/>
    <xf numFmtId="0" fontId="6" fillId="0" borderId="7" xfId="0" applyFont="1" applyBorder="1"/>
    <xf numFmtId="0" fontId="6" fillId="0" borderId="6" xfId="0" applyFont="1" applyBorder="1"/>
    <xf numFmtId="0" fontId="6" fillId="3" borderId="8" xfId="0" applyFont="1" applyFill="1" applyBorder="1"/>
    <xf numFmtId="0" fontId="0" fillId="11" borderId="15" xfId="0" applyFill="1" applyBorder="1"/>
    <xf numFmtId="0" fontId="1" fillId="11" borderId="19" xfId="0" applyFont="1" applyFill="1" applyBorder="1"/>
    <xf numFmtId="0" fontId="1" fillId="11" borderId="20" xfId="0" applyFont="1" applyFill="1" applyBorder="1"/>
    <xf numFmtId="0" fontId="1" fillId="11" borderId="21" xfId="0" applyFont="1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0" xfId="0" applyFill="1"/>
    <xf numFmtId="0" fontId="0" fillId="7" borderId="5" xfId="0" applyFill="1" applyBorder="1"/>
    <xf numFmtId="0" fontId="12" fillId="5" borderId="24" xfId="0" applyFont="1" applyFill="1" applyBorder="1" applyAlignment="1">
      <alignment horizontal="center"/>
    </xf>
    <xf numFmtId="0" fontId="0" fillId="13" borderId="11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0" fillId="14" borderId="11" xfId="0" applyFill="1" applyBorder="1"/>
    <xf numFmtId="0" fontId="0" fillId="6" borderId="11" xfId="0" applyFill="1" applyBorder="1" applyAlignment="1">
      <alignment wrapText="1"/>
    </xf>
    <xf numFmtId="0" fontId="0" fillId="5" borderId="50" xfId="0" applyFill="1" applyBorder="1"/>
    <xf numFmtId="0" fontId="0" fillId="5" borderId="5" xfId="0" applyFill="1" applyBorder="1"/>
    <xf numFmtId="0" fontId="0" fillId="5" borderId="15" xfId="0" applyFill="1" applyBorder="1"/>
    <xf numFmtId="0" fontId="0" fillId="5" borderId="17" xfId="0" applyFill="1" applyBorder="1"/>
    <xf numFmtId="49" fontId="0" fillId="0" borderId="2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0" fontId="8" fillId="9" borderId="1" xfId="0" applyFont="1" applyFill="1" applyBorder="1" applyAlignment="1">
      <alignment vertical="center" wrapText="1"/>
    </xf>
    <xf numFmtId="0" fontId="0" fillId="9" borderId="7" xfId="0" applyFill="1" applyBorder="1"/>
    <xf numFmtId="0" fontId="0" fillId="9" borderId="15" xfId="0" applyFill="1" applyBorder="1"/>
    <xf numFmtId="49" fontId="0" fillId="0" borderId="22" xfId="0" applyNumberFormat="1" applyBorder="1" applyAlignment="1">
      <alignment horizontal="center" vertical="center" wrapText="1"/>
    </xf>
    <xf numFmtId="0" fontId="0" fillId="7" borderId="6" xfId="0" applyFill="1" applyBorder="1"/>
    <xf numFmtId="0" fontId="17" fillId="4" borderId="28" xfId="0" applyFont="1" applyFill="1" applyBorder="1"/>
    <xf numFmtId="0" fontId="1" fillId="8" borderId="13" xfId="0" applyFont="1" applyFill="1" applyBorder="1"/>
    <xf numFmtId="0" fontId="1" fillId="7" borderId="7" xfId="0" applyFont="1" applyFill="1" applyBorder="1"/>
    <xf numFmtId="0" fontId="1" fillId="7" borderId="10" xfId="0" applyFont="1" applyFill="1" applyBorder="1"/>
    <xf numFmtId="0" fontId="0" fillId="7" borderId="7" xfId="0" applyFill="1" applyBorder="1"/>
    <xf numFmtId="0" fontId="0" fillId="7" borderId="28" xfId="0" applyFill="1" applyBorder="1"/>
    <xf numFmtId="0" fontId="1" fillId="7" borderId="5" xfId="0" applyFont="1" applyFill="1" applyBorder="1"/>
    <xf numFmtId="0" fontId="20" fillId="0" borderId="0" xfId="2" quotePrefix="1"/>
    <xf numFmtId="0" fontId="21" fillId="0" borderId="16" xfId="0" applyFont="1" applyBorder="1" applyAlignment="1">
      <alignment wrapText="1"/>
    </xf>
    <xf numFmtId="0" fontId="0" fillId="5" borderId="18" xfId="0" applyFill="1" applyBorder="1"/>
    <xf numFmtId="0" fontId="0" fillId="7" borderId="51" xfId="0" applyFill="1" applyBorder="1" applyAlignment="1">
      <alignment wrapText="1"/>
    </xf>
    <xf numFmtId="0" fontId="0" fillId="16" borderId="12" xfId="0" applyFill="1" applyBorder="1"/>
    <xf numFmtId="0" fontId="0" fillId="12" borderId="52" xfId="0" applyFill="1" applyBorder="1"/>
    <xf numFmtId="0" fontId="0" fillId="15" borderId="37" xfId="0" applyFill="1" applyBorder="1"/>
    <xf numFmtId="0" fontId="0" fillId="4" borderId="11" xfId="0" applyFill="1" applyBorder="1"/>
    <xf numFmtId="0" fontId="0" fillId="18" borderId="16" xfId="0" applyFill="1" applyBorder="1"/>
    <xf numFmtId="0" fontId="0" fillId="18" borderId="15" xfId="0" applyFill="1" applyBorder="1"/>
    <xf numFmtId="0" fontId="6" fillId="0" borderId="23" xfId="0" quotePrefix="1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49" fontId="0" fillId="0" borderId="24" xfId="0" applyNumberForma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4" fillId="3" borderId="43" xfId="0" applyFont="1" applyFill="1" applyBorder="1" applyAlignment="1">
      <alignment horizontal="center"/>
    </xf>
    <xf numFmtId="0" fontId="14" fillId="3" borderId="23" xfId="0" applyFont="1" applyFill="1" applyBorder="1" applyAlignment="1">
      <alignment horizontal="center"/>
    </xf>
    <xf numFmtId="0" fontId="14" fillId="3" borderId="13" xfId="0" applyFont="1" applyFill="1" applyBorder="1" applyAlignment="1">
      <alignment horizontal="center"/>
    </xf>
    <xf numFmtId="0" fontId="0" fillId="0" borderId="4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43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3" fillId="0" borderId="23" xfId="0" quotePrefix="1" applyFont="1" applyBorder="1" applyAlignment="1">
      <alignment horizontal="left" vertical="center" wrapText="1"/>
    </xf>
    <xf numFmtId="0" fontId="3" fillId="0" borderId="13" xfId="0" quotePrefix="1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6" fillId="0" borderId="43" xfId="0" applyFont="1" applyBorder="1" applyAlignment="1">
      <alignment horizontal="left" vertical="center" wrapText="1"/>
    </xf>
    <xf numFmtId="0" fontId="7" fillId="0" borderId="4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7" fillId="0" borderId="37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19" fillId="11" borderId="22" xfId="0" applyFont="1" applyFill="1" applyBorder="1" applyAlignment="1">
      <alignment horizontal="center" vertical="center" wrapText="1"/>
    </xf>
    <xf numFmtId="0" fontId="19" fillId="11" borderId="23" xfId="0" applyFont="1" applyFill="1" applyBorder="1" applyAlignment="1">
      <alignment horizontal="center" vertical="center" wrapText="1"/>
    </xf>
    <xf numFmtId="0" fontId="19" fillId="11" borderId="49" xfId="0" applyFont="1" applyFill="1" applyBorder="1" applyAlignment="1">
      <alignment horizontal="center" vertical="center" wrapText="1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0" borderId="39" xfId="0" applyBorder="1" applyAlignment="1">
      <alignment horizontal="center" vertical="center" textRotation="90"/>
    </xf>
    <xf numFmtId="0" fontId="0" fillId="0" borderId="40" xfId="0" applyBorder="1" applyAlignment="1">
      <alignment horizontal="center" vertical="center" textRotation="90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3" fillId="0" borderId="48" xfId="0" applyFont="1" applyBorder="1" applyAlignment="1">
      <alignment horizontal="center" vertical="center" textRotation="90"/>
    </xf>
    <xf numFmtId="0" fontId="3" fillId="0" borderId="32" xfId="0" applyFont="1" applyBorder="1" applyAlignment="1">
      <alignment horizontal="center" vertical="center" textRotation="90"/>
    </xf>
    <xf numFmtId="0" fontId="3" fillId="0" borderId="33" xfId="0" applyFont="1" applyBorder="1" applyAlignment="1">
      <alignment horizontal="center" vertical="center" textRotation="90"/>
    </xf>
    <xf numFmtId="0" fontId="7" fillId="0" borderId="51" xfId="0" applyFont="1" applyBorder="1" applyAlignment="1">
      <alignment horizontal="center" vertical="center" wrapText="1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ipervínculo" xfId="2" builtinId="8"/>
    <cellStyle name="Normal" xfId="0" builtinId="0"/>
    <cellStyle name="Normal 2" xfId="1" xr:uid="{00000000-0005-0000-0000-000001000000}"/>
  </cellStyles>
  <dxfs count="25"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1514475" cy="1020994"/>
    <xdr:pic>
      <xdr:nvPicPr>
        <xdr:cNvPr id="2" name="1 Imagen" descr="Talgo.b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" y="0"/>
          <a:ext cx="1514475" cy="10209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620485</xdr:colOff>
      <xdr:row>1</xdr:row>
      <xdr:rowOff>10885</xdr:rowOff>
    </xdr:from>
    <xdr:to>
      <xdr:col>17</xdr:col>
      <xdr:colOff>276822</xdr:colOff>
      <xdr:row>9</xdr:row>
      <xdr:rowOff>168870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9" y="195942"/>
          <a:ext cx="5448773" cy="1638442"/>
        </a:xfrm>
        <a:prstGeom prst="rect">
          <a:avLst/>
        </a:prstGeom>
      </xdr:spPr>
    </xdr:pic>
    <xdr:clientData/>
  </xdr:twoCellAnchor>
  <xdr:twoCellAnchor editAs="oneCell">
    <xdr:from>
      <xdr:col>29</xdr:col>
      <xdr:colOff>1014552</xdr:colOff>
      <xdr:row>1</xdr:row>
      <xdr:rowOff>121921</xdr:rowOff>
    </xdr:from>
    <xdr:to>
      <xdr:col>30</xdr:col>
      <xdr:colOff>1411624</xdr:colOff>
      <xdr:row>14</xdr:row>
      <xdr:rowOff>40480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89732" y="304801"/>
          <a:ext cx="4066530" cy="2295999"/>
        </a:xfrm>
        <a:prstGeom prst="rect">
          <a:avLst/>
        </a:prstGeom>
      </xdr:spPr>
    </xdr:pic>
    <xdr:clientData/>
  </xdr:twoCellAnchor>
  <xdr:twoCellAnchor editAs="oneCell">
    <xdr:from>
      <xdr:col>49</xdr:col>
      <xdr:colOff>401683</xdr:colOff>
      <xdr:row>1</xdr:row>
      <xdr:rowOff>133894</xdr:rowOff>
    </xdr:from>
    <xdr:to>
      <xdr:col>54</xdr:col>
      <xdr:colOff>1846470</xdr:colOff>
      <xdr:row>14</xdr:row>
      <xdr:rowOff>90556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443283" y="316774"/>
          <a:ext cx="3847709" cy="2334102"/>
        </a:xfrm>
        <a:prstGeom prst="rect">
          <a:avLst/>
        </a:prstGeom>
      </xdr:spPr>
    </xdr:pic>
    <xdr:clientData/>
  </xdr:twoCellAnchor>
  <xdr:twoCellAnchor editAs="oneCell">
    <xdr:from>
      <xdr:col>58</xdr:col>
      <xdr:colOff>185057</xdr:colOff>
      <xdr:row>1</xdr:row>
      <xdr:rowOff>108857</xdr:rowOff>
    </xdr:from>
    <xdr:to>
      <xdr:col>63</xdr:col>
      <xdr:colOff>1807017</xdr:colOff>
      <xdr:row>14</xdr:row>
      <xdr:rowOff>50278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561143" y="293914"/>
          <a:ext cx="3840813" cy="2347164"/>
        </a:xfrm>
        <a:prstGeom prst="rect">
          <a:avLst/>
        </a:prstGeom>
      </xdr:spPr>
    </xdr:pic>
    <xdr:clientData/>
  </xdr:twoCellAnchor>
  <xdr:twoCellAnchor editAs="oneCell">
    <xdr:from>
      <xdr:col>67</xdr:col>
      <xdr:colOff>141514</xdr:colOff>
      <xdr:row>1</xdr:row>
      <xdr:rowOff>141514</xdr:rowOff>
    </xdr:from>
    <xdr:to>
      <xdr:col>72</xdr:col>
      <xdr:colOff>1785640</xdr:colOff>
      <xdr:row>13</xdr:row>
      <xdr:rowOff>153682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839228" y="326571"/>
          <a:ext cx="3848434" cy="2232854"/>
        </a:xfrm>
        <a:prstGeom prst="rect">
          <a:avLst/>
        </a:prstGeom>
      </xdr:spPr>
    </xdr:pic>
    <xdr:clientData/>
  </xdr:twoCellAnchor>
  <xdr:twoCellAnchor editAs="oneCell">
    <xdr:from>
      <xdr:col>81</xdr:col>
      <xdr:colOff>447402</xdr:colOff>
      <xdr:row>1</xdr:row>
      <xdr:rowOff>133894</xdr:rowOff>
    </xdr:from>
    <xdr:to>
      <xdr:col>84</xdr:col>
      <xdr:colOff>394198</xdr:colOff>
      <xdr:row>14</xdr:row>
      <xdr:rowOff>21970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849142" y="316774"/>
          <a:ext cx="3859321" cy="2265516"/>
        </a:xfrm>
        <a:prstGeom prst="rect">
          <a:avLst/>
        </a:prstGeom>
      </xdr:spPr>
    </xdr:pic>
    <xdr:clientData/>
  </xdr:twoCellAnchor>
  <xdr:twoCellAnchor editAs="oneCell">
    <xdr:from>
      <xdr:col>92</xdr:col>
      <xdr:colOff>163285</xdr:colOff>
      <xdr:row>1</xdr:row>
      <xdr:rowOff>97971</xdr:rowOff>
    </xdr:from>
    <xdr:to>
      <xdr:col>97</xdr:col>
      <xdr:colOff>1879753</xdr:colOff>
      <xdr:row>14</xdr:row>
      <xdr:rowOff>925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504256" y="283028"/>
          <a:ext cx="3863675" cy="2301440"/>
        </a:xfrm>
        <a:prstGeom prst="rect">
          <a:avLst/>
        </a:prstGeom>
      </xdr:spPr>
    </xdr:pic>
    <xdr:clientData/>
  </xdr:twoCellAnchor>
  <xdr:twoCellAnchor editAs="oneCell">
    <xdr:from>
      <xdr:col>101</xdr:col>
      <xdr:colOff>76199</xdr:colOff>
      <xdr:row>1</xdr:row>
      <xdr:rowOff>65314</xdr:rowOff>
    </xdr:from>
    <xdr:to>
      <xdr:col>106</xdr:col>
      <xdr:colOff>1795833</xdr:colOff>
      <xdr:row>14</xdr:row>
      <xdr:rowOff>44838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738799" y="250371"/>
          <a:ext cx="3840813" cy="2385267"/>
        </a:xfrm>
        <a:prstGeom prst="rect">
          <a:avLst/>
        </a:prstGeom>
      </xdr:spPr>
    </xdr:pic>
    <xdr:clientData/>
  </xdr:twoCellAnchor>
  <xdr:twoCellAnchor editAs="oneCell">
    <xdr:from>
      <xdr:col>112</xdr:col>
      <xdr:colOff>653142</xdr:colOff>
      <xdr:row>1</xdr:row>
      <xdr:rowOff>43543</xdr:rowOff>
    </xdr:from>
    <xdr:to>
      <xdr:col>116</xdr:col>
      <xdr:colOff>286998</xdr:colOff>
      <xdr:row>13</xdr:row>
      <xdr:rowOff>147159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279628" y="228600"/>
          <a:ext cx="4724810" cy="2324302"/>
        </a:xfrm>
        <a:prstGeom prst="rect">
          <a:avLst/>
        </a:prstGeom>
      </xdr:spPr>
    </xdr:pic>
    <xdr:clientData/>
  </xdr:twoCellAnchor>
  <xdr:twoCellAnchor editAs="oneCell">
    <xdr:from>
      <xdr:col>42</xdr:col>
      <xdr:colOff>299357</xdr:colOff>
      <xdr:row>0</xdr:row>
      <xdr:rowOff>0</xdr:rowOff>
    </xdr:from>
    <xdr:to>
      <xdr:col>45</xdr:col>
      <xdr:colOff>3333751</xdr:colOff>
      <xdr:row>17</xdr:row>
      <xdr:rowOff>110392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16E7E975-F53C-4853-AE3F-06272029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18393" y="0"/>
          <a:ext cx="4367894" cy="3348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620485</xdr:colOff>
      <xdr:row>1</xdr:row>
      <xdr:rowOff>10885</xdr:rowOff>
    </xdr:from>
    <xdr:to>
      <xdr:col>17</xdr:col>
      <xdr:colOff>50277</xdr:colOff>
      <xdr:row>9</xdr:row>
      <xdr:rowOff>168870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59638D6D-87EC-4E70-B8C3-A0ADDA7B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5735" y="201385"/>
          <a:ext cx="5218937" cy="1681985"/>
        </a:xfrm>
        <a:prstGeom prst="rect">
          <a:avLst/>
        </a:prstGeom>
      </xdr:spPr>
    </xdr:pic>
    <xdr:clientData/>
  </xdr:twoCellAnchor>
  <xdr:twoCellAnchor editAs="oneCell">
    <xdr:from>
      <xdr:col>29</xdr:col>
      <xdr:colOff>1014552</xdr:colOff>
      <xdr:row>1</xdr:row>
      <xdr:rowOff>121921</xdr:rowOff>
    </xdr:from>
    <xdr:to>
      <xdr:col>32</xdr:col>
      <xdr:colOff>249574</xdr:colOff>
      <xdr:row>14</xdr:row>
      <xdr:rowOff>40480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38CD258A-41F3-45B1-A547-1F4C4C5E4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21277" y="312421"/>
          <a:ext cx="3930847" cy="2395059"/>
        </a:xfrm>
        <a:prstGeom prst="rect">
          <a:avLst/>
        </a:prstGeom>
      </xdr:spPr>
    </xdr:pic>
    <xdr:clientData/>
  </xdr:twoCellAnchor>
  <xdr:twoCellAnchor editAs="oneCell">
    <xdr:from>
      <xdr:col>49</xdr:col>
      <xdr:colOff>401683</xdr:colOff>
      <xdr:row>1</xdr:row>
      <xdr:rowOff>133894</xdr:rowOff>
    </xdr:from>
    <xdr:to>
      <xdr:col>54</xdr:col>
      <xdr:colOff>1846470</xdr:colOff>
      <xdr:row>14</xdr:row>
      <xdr:rowOff>87381</xdr:rowOff>
    </xdr:to>
    <xdr:pic>
      <xdr:nvPicPr>
        <xdr:cNvPr id="4" name="5 Imagen">
          <a:extLst>
            <a:ext uri="{FF2B5EF4-FFF2-40B4-BE49-F238E27FC236}">
              <a16:creationId xmlns:a16="http://schemas.microsoft.com/office/drawing/2014/main" id="{6D1BDBE8-3244-442A-AF30-2F0BCF3EF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01083" y="324394"/>
          <a:ext cx="3711737" cy="2433162"/>
        </a:xfrm>
        <a:prstGeom prst="rect">
          <a:avLst/>
        </a:prstGeom>
      </xdr:spPr>
    </xdr:pic>
    <xdr:clientData/>
  </xdr:twoCellAnchor>
  <xdr:twoCellAnchor editAs="oneCell">
    <xdr:from>
      <xdr:col>58</xdr:col>
      <xdr:colOff>185057</xdr:colOff>
      <xdr:row>1</xdr:row>
      <xdr:rowOff>108857</xdr:rowOff>
    </xdr:from>
    <xdr:to>
      <xdr:col>63</xdr:col>
      <xdr:colOff>1807016</xdr:colOff>
      <xdr:row>14</xdr:row>
      <xdr:rowOff>47103</xdr:rowOff>
    </xdr:to>
    <xdr:pic>
      <xdr:nvPicPr>
        <xdr:cNvPr id="5" name="6 Imagen">
          <a:extLst>
            <a:ext uri="{FF2B5EF4-FFF2-40B4-BE49-F238E27FC236}">
              <a16:creationId xmlns:a16="http://schemas.microsoft.com/office/drawing/2014/main" id="{8F6F0DBF-967B-4A70-8231-6B4C2EA31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466282" y="299357"/>
          <a:ext cx="3717460" cy="2417921"/>
        </a:xfrm>
        <a:prstGeom prst="rect">
          <a:avLst/>
        </a:prstGeom>
      </xdr:spPr>
    </xdr:pic>
    <xdr:clientData/>
  </xdr:twoCellAnchor>
  <xdr:twoCellAnchor editAs="oneCell">
    <xdr:from>
      <xdr:col>67</xdr:col>
      <xdr:colOff>141514</xdr:colOff>
      <xdr:row>1</xdr:row>
      <xdr:rowOff>141514</xdr:rowOff>
    </xdr:from>
    <xdr:to>
      <xdr:col>72</xdr:col>
      <xdr:colOff>1782465</xdr:colOff>
      <xdr:row>13</xdr:row>
      <xdr:rowOff>153682</xdr:rowOff>
    </xdr:to>
    <xdr:pic>
      <xdr:nvPicPr>
        <xdr:cNvPr id="6" name="7 Imagen">
          <a:extLst>
            <a:ext uri="{FF2B5EF4-FFF2-40B4-BE49-F238E27FC236}">
              <a16:creationId xmlns:a16="http://schemas.microsoft.com/office/drawing/2014/main" id="{5C0CE472-1C56-4AD2-936C-D8DD75D6B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433264" y="332014"/>
          <a:ext cx="3720576" cy="2298168"/>
        </a:xfrm>
        <a:prstGeom prst="rect">
          <a:avLst/>
        </a:prstGeom>
      </xdr:spPr>
    </xdr:pic>
    <xdr:clientData/>
  </xdr:twoCellAnchor>
  <xdr:twoCellAnchor editAs="oneCell">
    <xdr:from>
      <xdr:col>81</xdr:col>
      <xdr:colOff>447402</xdr:colOff>
      <xdr:row>1</xdr:row>
      <xdr:rowOff>133894</xdr:rowOff>
    </xdr:from>
    <xdr:to>
      <xdr:col>84</xdr:col>
      <xdr:colOff>238622</xdr:colOff>
      <xdr:row>14</xdr:row>
      <xdr:rowOff>21970</xdr:rowOff>
    </xdr:to>
    <xdr:pic>
      <xdr:nvPicPr>
        <xdr:cNvPr id="7" name="8 Imagen">
          <a:extLst>
            <a:ext uri="{FF2B5EF4-FFF2-40B4-BE49-F238E27FC236}">
              <a16:creationId xmlns:a16="http://schemas.microsoft.com/office/drawing/2014/main" id="{9D7EFE8E-E404-43A0-99E2-1134EF893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987802" y="324394"/>
          <a:ext cx="3709171" cy="2364576"/>
        </a:xfrm>
        <a:prstGeom prst="rect">
          <a:avLst/>
        </a:prstGeom>
      </xdr:spPr>
    </xdr:pic>
    <xdr:clientData/>
  </xdr:twoCellAnchor>
  <xdr:twoCellAnchor editAs="oneCell">
    <xdr:from>
      <xdr:col>92</xdr:col>
      <xdr:colOff>163285</xdr:colOff>
      <xdr:row>1</xdr:row>
      <xdr:rowOff>97971</xdr:rowOff>
    </xdr:from>
    <xdr:to>
      <xdr:col>97</xdr:col>
      <xdr:colOff>1876578</xdr:colOff>
      <xdr:row>14</xdr:row>
      <xdr:rowOff>925</xdr:rowOff>
    </xdr:to>
    <xdr:pic>
      <xdr:nvPicPr>
        <xdr:cNvPr id="8" name="9 Imagen">
          <a:extLst>
            <a:ext uri="{FF2B5EF4-FFF2-40B4-BE49-F238E27FC236}">
              <a16:creationId xmlns:a16="http://schemas.microsoft.com/office/drawing/2014/main" id="{771A8CAE-78E2-40B1-BC2D-0009AC0B1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523960" y="288471"/>
          <a:ext cx="3726243" cy="2379454"/>
        </a:xfrm>
        <a:prstGeom prst="rect">
          <a:avLst/>
        </a:prstGeom>
      </xdr:spPr>
    </xdr:pic>
    <xdr:clientData/>
  </xdr:twoCellAnchor>
  <xdr:twoCellAnchor editAs="oneCell">
    <xdr:from>
      <xdr:col>101</xdr:col>
      <xdr:colOff>76199</xdr:colOff>
      <xdr:row>1</xdr:row>
      <xdr:rowOff>65314</xdr:rowOff>
    </xdr:from>
    <xdr:to>
      <xdr:col>106</xdr:col>
      <xdr:colOff>1799008</xdr:colOff>
      <xdr:row>14</xdr:row>
      <xdr:rowOff>48013</xdr:rowOff>
    </xdr:to>
    <xdr:pic>
      <xdr:nvPicPr>
        <xdr:cNvPr id="9" name="10 Imagen">
          <a:extLst>
            <a:ext uri="{FF2B5EF4-FFF2-40B4-BE49-F238E27FC236}">
              <a16:creationId xmlns:a16="http://schemas.microsoft.com/office/drawing/2014/main" id="{C91025A0-9AC7-488D-AFBF-49EA9F67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056749" y="255814"/>
          <a:ext cx="3719884" cy="2456024"/>
        </a:xfrm>
        <a:prstGeom prst="rect">
          <a:avLst/>
        </a:prstGeom>
      </xdr:spPr>
    </xdr:pic>
    <xdr:clientData/>
  </xdr:twoCellAnchor>
  <xdr:twoCellAnchor editAs="oneCell">
    <xdr:from>
      <xdr:col>112</xdr:col>
      <xdr:colOff>653142</xdr:colOff>
      <xdr:row>1</xdr:row>
      <xdr:rowOff>43543</xdr:rowOff>
    </xdr:from>
    <xdr:to>
      <xdr:col>116</xdr:col>
      <xdr:colOff>286998</xdr:colOff>
      <xdr:row>13</xdr:row>
      <xdr:rowOff>143984</xdr:rowOff>
    </xdr:to>
    <xdr:pic>
      <xdr:nvPicPr>
        <xdr:cNvPr id="10" name="11 Imagen">
          <a:extLst>
            <a:ext uri="{FF2B5EF4-FFF2-40B4-BE49-F238E27FC236}">
              <a16:creationId xmlns:a16="http://schemas.microsoft.com/office/drawing/2014/main" id="{AE0C15D6-0B17-43B2-82DB-6C6ECF8A3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491692" y="234043"/>
          <a:ext cx="4539231" cy="2389616"/>
        </a:xfrm>
        <a:prstGeom prst="rect">
          <a:avLst/>
        </a:prstGeom>
      </xdr:spPr>
    </xdr:pic>
    <xdr:clientData/>
  </xdr:twoCellAnchor>
  <xdr:twoCellAnchor editAs="oneCell">
    <xdr:from>
      <xdr:col>42</xdr:col>
      <xdr:colOff>299357</xdr:colOff>
      <xdr:row>0</xdr:row>
      <xdr:rowOff>0</xdr:rowOff>
    </xdr:from>
    <xdr:to>
      <xdr:col>45</xdr:col>
      <xdr:colOff>3333751</xdr:colOff>
      <xdr:row>15</xdr:row>
      <xdr:rowOff>104028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F189BB0-9718-4623-8E62-56FC7E2A3E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706"/>
        <a:stretch/>
      </xdr:blipFill>
      <xdr:spPr bwMode="auto">
        <a:xfrm>
          <a:off x="27451210" y="0"/>
          <a:ext cx="4367894" cy="2958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9525</xdr:colOff>
      <xdr:row>11</xdr:row>
      <xdr:rowOff>180975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283FB4B4-3D7C-2EA0-47EA-1B9E3DDA71EF}"/>
            </a:ext>
          </a:extLst>
        </xdr:cNvPr>
        <xdr:cNvSpPr txBox="1"/>
      </xdr:nvSpPr>
      <xdr:spPr>
        <a:xfrm>
          <a:off x="7105650" y="200025"/>
          <a:ext cx="4581525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Reserved IPs will correspond</a:t>
          </a:r>
          <a:r>
            <a:rPr lang="es-ES" sz="1100" baseline="0"/>
            <a:t> to coach numbers not used in the composition. Currently, the coaches composition can have up to 21 coaches.</a:t>
          </a:r>
          <a:br>
            <a:rPr lang="es-ES" sz="1100" baseline="0"/>
          </a:br>
          <a:br>
            <a:rPr lang="es-ES" sz="1100" baseline="0"/>
          </a:br>
          <a:r>
            <a:rPr lang="es-ES" sz="1100" baseline="0"/>
            <a:t>Reserved IPs can belong to coach 0, or coach 1, for example.</a:t>
          </a:r>
        </a:p>
        <a:p>
          <a:endParaRPr lang="es-ES" sz="1100" baseline="0"/>
        </a:p>
        <a:p>
          <a:r>
            <a:rPr lang="es-ES" sz="1100" baseline="0"/>
            <a:t>Reserved IPs can belong to any of the 8 defined vlans</a:t>
          </a:r>
        </a:p>
        <a:p>
          <a:endParaRPr lang="es-ES" sz="1100" baseline="0"/>
        </a:p>
        <a:p>
          <a:r>
            <a:rPr lang="es-ES" sz="1100" baseline="0"/>
            <a:t>Device number can go from 1 to 62 (63 reserved for broadcast)</a:t>
          </a:r>
        </a:p>
        <a:p>
          <a:endParaRPr lang="es-ES" sz="1100" baseline="0"/>
        </a:p>
        <a:p>
          <a:r>
            <a:rPr lang="es-ES" sz="1100" baseline="0"/>
            <a:t>Only ECN address are indicated. For ETB addressing, the subntet id (consist number) must be taken into account in the first 2 octects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1:M51"/>
  <sheetViews>
    <sheetView topLeftCell="A46" zoomScale="90" zoomScaleNormal="90" workbookViewId="0">
      <selection activeCell="E51" sqref="E51:I51"/>
    </sheetView>
  </sheetViews>
  <sheetFormatPr baseColWidth="10" defaultColWidth="11.42578125" defaultRowHeight="15"/>
  <cols>
    <col min="1" max="1" width="11.5703125"/>
    <col min="9" max="9" width="39.42578125" customWidth="1"/>
  </cols>
  <sheetData>
    <row r="1" spans="2:13">
      <c r="B1" s="61"/>
      <c r="C1" s="61"/>
    </row>
    <row r="2" spans="2:13">
      <c r="B2" s="61"/>
      <c r="C2" s="61"/>
    </row>
    <row r="3" spans="2:13">
      <c r="B3" s="61"/>
      <c r="C3" s="61"/>
    </row>
    <row r="4" spans="2:13">
      <c r="B4" s="61"/>
      <c r="C4" s="61"/>
    </row>
    <row r="5" spans="2:13">
      <c r="B5" s="61"/>
      <c r="C5" s="61"/>
    </row>
    <row r="6" spans="2:13">
      <c r="B6" s="61"/>
      <c r="C6" s="61"/>
    </row>
    <row r="7" spans="2:13" ht="21">
      <c r="B7" s="168" t="s">
        <v>0</v>
      </c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</row>
    <row r="8" spans="2:13" ht="21">
      <c r="B8" s="62"/>
      <c r="C8" s="62"/>
      <c r="D8" s="63"/>
      <c r="E8" s="63"/>
      <c r="F8" s="63"/>
      <c r="G8" s="63"/>
      <c r="H8" s="63"/>
      <c r="I8" s="63"/>
      <c r="J8" s="63"/>
      <c r="K8" s="63"/>
      <c r="L8" s="63"/>
      <c r="M8" s="63"/>
    </row>
    <row r="9" spans="2:13" ht="21">
      <c r="B9" s="168" t="s">
        <v>1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</row>
    <row r="10" spans="2:13" ht="21">
      <c r="B10" s="62"/>
      <c r="C10" s="62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2:13" ht="21">
      <c r="B11" s="168" t="s">
        <v>2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</row>
    <row r="12" spans="2:13">
      <c r="B12" s="61"/>
      <c r="C12" s="61"/>
    </row>
    <row r="13" spans="2:13" ht="15.75" thickBot="1">
      <c r="B13" s="61"/>
      <c r="C13" s="61"/>
    </row>
    <row r="14" spans="2:13" ht="15.75" thickBot="1">
      <c r="B14" s="64" t="s">
        <v>3</v>
      </c>
      <c r="C14" s="65" t="s">
        <v>4</v>
      </c>
      <c r="D14" s="66" t="s">
        <v>5</v>
      </c>
      <c r="E14" s="169" t="s">
        <v>6</v>
      </c>
      <c r="F14" s="170"/>
      <c r="G14" s="170"/>
      <c r="H14" s="170"/>
      <c r="I14" s="171"/>
    </row>
    <row r="15" spans="2:13" ht="15.75" thickBot="1">
      <c r="B15" s="67" t="s">
        <v>7</v>
      </c>
      <c r="C15" s="68">
        <v>43976</v>
      </c>
      <c r="D15" s="69" t="s">
        <v>8</v>
      </c>
      <c r="E15" s="172" t="s">
        <v>9</v>
      </c>
      <c r="F15" s="173"/>
      <c r="G15" s="173"/>
      <c r="H15" s="173"/>
      <c r="I15" s="174"/>
    </row>
    <row r="16" spans="2:13" ht="15.75" thickBot="1">
      <c r="B16" s="70" t="s">
        <v>10</v>
      </c>
      <c r="C16" s="71">
        <v>43983</v>
      </c>
      <c r="D16" s="69" t="s">
        <v>8</v>
      </c>
      <c r="E16" s="175" t="s">
        <v>11</v>
      </c>
      <c r="F16" s="176"/>
      <c r="G16" s="176"/>
      <c r="H16" s="176"/>
      <c r="I16" s="177"/>
    </row>
    <row r="17" spans="2:13" ht="45" customHeight="1" thickBot="1">
      <c r="B17" s="72" t="s">
        <v>12</v>
      </c>
      <c r="C17" s="73">
        <v>43993</v>
      </c>
      <c r="D17" s="74" t="s">
        <v>8</v>
      </c>
      <c r="E17" s="175" t="s">
        <v>13</v>
      </c>
      <c r="F17" s="176"/>
      <c r="G17" s="176"/>
      <c r="H17" s="176"/>
      <c r="I17" s="177"/>
      <c r="J17" s="75"/>
      <c r="K17" s="75"/>
      <c r="L17" s="75"/>
      <c r="M17" s="75"/>
    </row>
    <row r="18" spans="2:13" ht="51" customHeight="1" thickBot="1">
      <c r="B18" s="70" t="s">
        <v>14</v>
      </c>
      <c r="C18" s="71">
        <v>44153</v>
      </c>
      <c r="D18" s="69" t="s">
        <v>8</v>
      </c>
      <c r="E18" s="175" t="s">
        <v>15</v>
      </c>
      <c r="F18" s="176"/>
      <c r="G18" s="176"/>
      <c r="H18" s="176"/>
      <c r="I18" s="177"/>
    </row>
    <row r="19" spans="2:13" ht="15.75" thickBot="1">
      <c r="B19" s="70" t="s">
        <v>16</v>
      </c>
      <c r="C19" s="71">
        <v>44181</v>
      </c>
      <c r="D19" s="69" t="s">
        <v>8</v>
      </c>
      <c r="E19" s="175" t="s">
        <v>17</v>
      </c>
      <c r="F19" s="176"/>
      <c r="G19" s="176"/>
      <c r="H19" s="176"/>
      <c r="I19" s="177"/>
    </row>
    <row r="20" spans="2:13" ht="34.5" customHeight="1" thickBot="1">
      <c r="B20" s="70" t="s">
        <v>18</v>
      </c>
      <c r="C20" s="71">
        <v>44182</v>
      </c>
      <c r="D20" s="76" t="s">
        <v>8</v>
      </c>
      <c r="E20" s="175" t="s">
        <v>19</v>
      </c>
      <c r="F20" s="176"/>
      <c r="G20" s="176"/>
      <c r="H20" s="176"/>
      <c r="I20" s="177"/>
    </row>
    <row r="21" spans="2:13" ht="58.5" customHeight="1" thickBot="1">
      <c r="B21" s="70" t="s">
        <v>20</v>
      </c>
      <c r="C21" s="71">
        <v>44209</v>
      </c>
      <c r="D21" s="76" t="s">
        <v>8</v>
      </c>
      <c r="E21" s="175" t="s">
        <v>21</v>
      </c>
      <c r="F21" s="176"/>
      <c r="G21" s="176"/>
      <c r="H21" s="176"/>
      <c r="I21" s="177"/>
    </row>
    <row r="22" spans="2:13" ht="60.75" customHeight="1" thickBot="1">
      <c r="B22" s="70" t="s">
        <v>22</v>
      </c>
      <c r="C22" s="71">
        <v>44222</v>
      </c>
      <c r="D22" s="76" t="s">
        <v>8</v>
      </c>
      <c r="E22" s="175" t="s">
        <v>23</v>
      </c>
      <c r="F22" s="176"/>
      <c r="G22" s="176"/>
      <c r="H22" s="176"/>
      <c r="I22" s="177"/>
    </row>
    <row r="23" spans="2:13" ht="68.25" customHeight="1" thickBot="1">
      <c r="B23" s="70" t="s">
        <v>24</v>
      </c>
      <c r="C23" s="71">
        <v>44223</v>
      </c>
      <c r="D23" s="76" t="s">
        <v>8</v>
      </c>
      <c r="E23" s="175" t="s">
        <v>25</v>
      </c>
      <c r="F23" s="176"/>
      <c r="G23" s="176"/>
      <c r="H23" s="176"/>
      <c r="I23" s="177"/>
    </row>
    <row r="24" spans="2:13" ht="87" customHeight="1" thickBot="1">
      <c r="B24" s="70" t="s">
        <v>26</v>
      </c>
      <c r="C24" s="71">
        <v>44228</v>
      </c>
      <c r="D24" s="76" t="s">
        <v>8</v>
      </c>
      <c r="E24" s="175" t="s">
        <v>27</v>
      </c>
      <c r="F24" s="176"/>
      <c r="G24" s="176"/>
      <c r="H24" s="176"/>
      <c r="I24" s="177"/>
    </row>
    <row r="25" spans="2:13" ht="80.25" customHeight="1" thickBot="1">
      <c r="B25" s="70" t="s">
        <v>28</v>
      </c>
      <c r="C25" s="71">
        <v>44228</v>
      </c>
      <c r="D25" s="76" t="s">
        <v>8</v>
      </c>
      <c r="E25" s="175" t="s">
        <v>29</v>
      </c>
      <c r="F25" s="176"/>
      <c r="G25" s="176"/>
      <c r="H25" s="176"/>
      <c r="I25" s="177"/>
    </row>
    <row r="26" spans="2:13" ht="15.75" thickBot="1">
      <c r="B26" s="70" t="s">
        <v>30</v>
      </c>
      <c r="C26" s="71">
        <v>44243</v>
      </c>
      <c r="D26" s="76" t="s">
        <v>8</v>
      </c>
      <c r="E26" s="175" t="s">
        <v>31</v>
      </c>
      <c r="F26" s="176"/>
      <c r="G26" s="176"/>
      <c r="H26" s="176"/>
      <c r="I26" s="177"/>
    </row>
    <row r="27" spans="2:13" ht="55.5" customHeight="1" thickBot="1">
      <c r="B27" s="70" t="s">
        <v>32</v>
      </c>
      <c r="C27" s="70"/>
      <c r="D27" s="70" t="s">
        <v>33</v>
      </c>
      <c r="E27" s="175" t="s">
        <v>34</v>
      </c>
      <c r="F27" s="176"/>
      <c r="G27" s="176"/>
      <c r="H27" s="176"/>
      <c r="I27" s="177"/>
    </row>
    <row r="28" spans="2:13" ht="60.75" customHeight="1" thickBot="1">
      <c r="B28" s="70" t="s">
        <v>35</v>
      </c>
      <c r="C28" s="70"/>
      <c r="D28" s="70" t="s">
        <v>33</v>
      </c>
      <c r="E28" s="175" t="s">
        <v>36</v>
      </c>
      <c r="F28" s="176"/>
      <c r="G28" s="176"/>
      <c r="H28" s="176"/>
      <c r="I28" s="177"/>
    </row>
    <row r="29" spans="2:13" ht="79.5" customHeight="1" thickBot="1">
      <c r="B29" s="70" t="s">
        <v>37</v>
      </c>
      <c r="C29" s="70"/>
      <c r="D29" s="70" t="s">
        <v>33</v>
      </c>
      <c r="E29" s="175" t="s">
        <v>38</v>
      </c>
      <c r="F29" s="176"/>
      <c r="G29" s="176"/>
      <c r="H29" s="176"/>
      <c r="I29" s="177"/>
    </row>
    <row r="30" spans="2:13" ht="110.25" customHeight="1" thickBot="1">
      <c r="B30" s="70" t="s">
        <v>39</v>
      </c>
      <c r="C30" s="70"/>
      <c r="D30" s="70"/>
      <c r="E30" s="175" t="s">
        <v>40</v>
      </c>
      <c r="F30" s="176"/>
      <c r="G30" s="176"/>
      <c r="H30" s="176"/>
      <c r="I30" s="177"/>
    </row>
    <row r="31" spans="2:13" ht="80.25" customHeight="1" thickBot="1">
      <c r="B31" s="70" t="s">
        <v>41</v>
      </c>
      <c r="C31" s="70" t="s">
        <v>42</v>
      </c>
      <c r="D31" s="70" t="s">
        <v>33</v>
      </c>
      <c r="E31" s="175" t="s">
        <v>43</v>
      </c>
      <c r="F31" s="176"/>
      <c r="G31" s="176"/>
      <c r="H31" s="176"/>
      <c r="I31" s="177"/>
    </row>
    <row r="32" spans="2:13" ht="99" customHeight="1" thickBot="1">
      <c r="B32" s="70" t="s">
        <v>44</v>
      </c>
      <c r="C32" s="70" t="s">
        <v>42</v>
      </c>
      <c r="D32" s="70" t="s">
        <v>33</v>
      </c>
      <c r="E32" s="181" t="s">
        <v>45</v>
      </c>
      <c r="F32" s="164"/>
      <c r="G32" s="164"/>
      <c r="H32" s="164"/>
      <c r="I32" s="165"/>
    </row>
    <row r="33" spans="2:9" ht="99" customHeight="1" thickBot="1">
      <c r="B33" s="138" t="s">
        <v>46</v>
      </c>
      <c r="C33" s="70" t="s">
        <v>47</v>
      </c>
      <c r="D33" s="139" t="s">
        <v>8</v>
      </c>
      <c r="E33" s="180" t="s">
        <v>48</v>
      </c>
      <c r="F33" s="176"/>
      <c r="G33" s="176"/>
      <c r="H33" s="176"/>
      <c r="I33" s="177"/>
    </row>
    <row r="34" spans="2:9" ht="79.150000000000006" customHeight="1" thickBot="1">
      <c r="B34" s="138" t="s">
        <v>49</v>
      </c>
      <c r="C34" s="140">
        <v>44348</v>
      </c>
      <c r="D34" s="139" t="s">
        <v>50</v>
      </c>
      <c r="E34" s="178" t="s">
        <v>51</v>
      </c>
      <c r="F34" s="178"/>
      <c r="G34" s="178"/>
      <c r="H34" s="178"/>
      <c r="I34" s="179"/>
    </row>
    <row r="35" spans="2:9" ht="72.75" customHeight="1" thickBot="1">
      <c r="B35" s="138" t="s">
        <v>52</v>
      </c>
      <c r="C35" s="140">
        <v>44378</v>
      </c>
      <c r="D35" s="139" t="s">
        <v>8</v>
      </c>
      <c r="E35" s="178" t="s">
        <v>53</v>
      </c>
      <c r="F35" s="178"/>
      <c r="G35" s="178"/>
      <c r="H35" s="178"/>
      <c r="I35" s="179"/>
    </row>
    <row r="36" spans="2:9" ht="72.75" customHeight="1" thickBot="1">
      <c r="B36" s="138" t="s">
        <v>54</v>
      </c>
      <c r="C36" s="140">
        <v>44383</v>
      </c>
      <c r="D36" s="139" t="s">
        <v>8</v>
      </c>
      <c r="E36" s="178" t="s">
        <v>55</v>
      </c>
      <c r="F36" s="178"/>
      <c r="G36" s="178"/>
      <c r="H36" s="178"/>
      <c r="I36" s="179"/>
    </row>
    <row r="37" spans="2:9" ht="72.75" customHeight="1" thickBot="1">
      <c r="B37" s="138" t="s">
        <v>56</v>
      </c>
      <c r="C37" s="140">
        <v>44446</v>
      </c>
      <c r="D37" s="139" t="s">
        <v>33</v>
      </c>
      <c r="E37" s="163" t="s">
        <v>57</v>
      </c>
      <c r="F37" s="164"/>
      <c r="G37" s="164"/>
      <c r="H37" s="164"/>
      <c r="I37" s="165"/>
    </row>
    <row r="38" spans="2:9" ht="72.75" customHeight="1" thickBot="1">
      <c r="B38" s="166" t="s">
        <v>58</v>
      </c>
      <c r="C38" s="140">
        <v>44449</v>
      </c>
      <c r="D38" s="139" t="s">
        <v>59</v>
      </c>
      <c r="E38" s="163" t="s">
        <v>60</v>
      </c>
      <c r="F38" s="164"/>
      <c r="G38" s="164"/>
      <c r="H38" s="164"/>
      <c r="I38" s="165"/>
    </row>
    <row r="39" spans="2:9" ht="72.75" customHeight="1" thickBot="1">
      <c r="B39" s="167"/>
      <c r="C39" s="140">
        <v>44517</v>
      </c>
      <c r="D39" s="139" t="s">
        <v>33</v>
      </c>
      <c r="E39" s="163" t="s">
        <v>61</v>
      </c>
      <c r="F39" s="164"/>
      <c r="G39" s="164"/>
      <c r="H39" s="164"/>
      <c r="I39" s="165"/>
    </row>
    <row r="40" spans="2:9" ht="72.75" customHeight="1" thickBot="1">
      <c r="B40" s="144" t="s">
        <v>62</v>
      </c>
      <c r="C40" s="140">
        <v>44686</v>
      </c>
      <c r="D40" s="139" t="s">
        <v>63</v>
      </c>
      <c r="E40" s="163" t="s">
        <v>64</v>
      </c>
      <c r="F40" s="164"/>
      <c r="G40" s="164"/>
      <c r="H40" s="164"/>
      <c r="I40" s="165"/>
    </row>
    <row r="41" spans="2:9" ht="72.75" customHeight="1" thickBot="1">
      <c r="B41" s="144" t="s">
        <v>65</v>
      </c>
      <c r="C41" s="140">
        <v>44736</v>
      </c>
      <c r="D41" s="139" t="s">
        <v>33</v>
      </c>
      <c r="E41" s="163" t="s">
        <v>66</v>
      </c>
      <c r="F41" s="164"/>
      <c r="G41" s="164"/>
      <c r="H41" s="164"/>
      <c r="I41" s="165"/>
    </row>
    <row r="42" spans="2:9" ht="72.75" customHeight="1" thickBot="1">
      <c r="B42" s="144" t="s">
        <v>67</v>
      </c>
      <c r="C42" s="140">
        <v>44984</v>
      </c>
      <c r="D42" s="139" t="s">
        <v>68</v>
      </c>
      <c r="E42" s="163" t="s">
        <v>69</v>
      </c>
      <c r="F42" s="164"/>
      <c r="G42" s="164"/>
      <c r="H42" s="164"/>
      <c r="I42" s="165"/>
    </row>
    <row r="43" spans="2:9" ht="99" customHeight="1" thickBot="1">
      <c r="B43" s="144" t="s">
        <v>70</v>
      </c>
      <c r="C43" s="140">
        <v>45033</v>
      </c>
      <c r="D43" s="139" t="s">
        <v>68</v>
      </c>
      <c r="E43" s="163" t="s">
        <v>71</v>
      </c>
      <c r="F43" s="164"/>
      <c r="G43" s="164"/>
      <c r="H43" s="164"/>
      <c r="I43" s="165"/>
    </row>
    <row r="44" spans="2:9" ht="99" customHeight="1">
      <c r="B44" s="144" t="s">
        <v>72</v>
      </c>
      <c r="C44" s="140">
        <v>45071</v>
      </c>
      <c r="D44" s="139" t="s">
        <v>68</v>
      </c>
      <c r="E44" s="163" t="s">
        <v>73</v>
      </c>
      <c r="F44" s="164"/>
      <c r="G44" s="164"/>
      <c r="H44" s="164"/>
      <c r="I44" s="165"/>
    </row>
    <row r="45" spans="2:9" ht="99" customHeight="1">
      <c r="B45" s="144" t="s">
        <v>74</v>
      </c>
      <c r="C45" s="140">
        <v>45238</v>
      </c>
      <c r="D45" s="139" t="s">
        <v>68</v>
      </c>
      <c r="E45" s="163" t="s">
        <v>75</v>
      </c>
      <c r="F45" s="164"/>
      <c r="G45" s="164"/>
      <c r="H45" s="164"/>
      <c r="I45" s="165"/>
    </row>
    <row r="46" spans="2:9" ht="249.75" customHeight="1" thickBot="1">
      <c r="B46" s="144" t="s">
        <v>76</v>
      </c>
      <c r="C46" s="140">
        <v>45323</v>
      </c>
      <c r="D46" s="139" t="s">
        <v>68</v>
      </c>
      <c r="E46" s="163" t="s">
        <v>77</v>
      </c>
      <c r="F46" s="164"/>
      <c r="G46" s="164"/>
      <c r="H46" s="164"/>
      <c r="I46" s="165"/>
    </row>
    <row r="47" spans="2:9" ht="91.5" customHeight="1" thickBot="1">
      <c r="B47" s="144" t="s">
        <v>78</v>
      </c>
      <c r="C47" s="140">
        <v>45328</v>
      </c>
      <c r="D47" s="139" t="s">
        <v>68</v>
      </c>
      <c r="E47" s="163" t="s">
        <v>79</v>
      </c>
      <c r="F47" s="164"/>
      <c r="G47" s="164"/>
      <c r="H47" s="164"/>
      <c r="I47" s="165"/>
    </row>
    <row r="48" spans="2:9" ht="55.5" customHeight="1" thickBot="1">
      <c r="B48" s="144" t="s">
        <v>80</v>
      </c>
      <c r="C48" s="140">
        <v>45609</v>
      </c>
      <c r="D48" s="139" t="s">
        <v>68</v>
      </c>
      <c r="E48" s="163" t="s">
        <v>81</v>
      </c>
      <c r="F48" s="164"/>
      <c r="G48" s="164"/>
      <c r="H48" s="164"/>
      <c r="I48" s="165"/>
    </row>
    <row r="49" spans="2:9" ht="109.5" customHeight="1" thickBot="1">
      <c r="B49" s="144" t="s">
        <v>536</v>
      </c>
      <c r="C49" s="140">
        <v>45743</v>
      </c>
      <c r="D49" s="139" t="s">
        <v>68</v>
      </c>
      <c r="E49" s="163" t="s">
        <v>537</v>
      </c>
      <c r="F49" s="164"/>
      <c r="G49" s="164"/>
      <c r="H49" s="164"/>
      <c r="I49" s="165"/>
    </row>
    <row r="50" spans="2:9" ht="109.5" customHeight="1" thickBot="1">
      <c r="B50" s="144" t="s">
        <v>544</v>
      </c>
      <c r="C50" s="140">
        <v>45772</v>
      </c>
      <c r="D50" s="139" t="s">
        <v>68</v>
      </c>
      <c r="E50" s="163" t="s">
        <v>556</v>
      </c>
      <c r="F50" s="164"/>
      <c r="G50" s="164"/>
      <c r="H50" s="164"/>
      <c r="I50" s="165"/>
    </row>
    <row r="51" spans="2:9" ht="109.5" customHeight="1" thickBot="1">
      <c r="B51" s="144" t="s">
        <v>558</v>
      </c>
      <c r="C51" s="140">
        <v>45806</v>
      </c>
      <c r="D51" s="139" t="s">
        <v>68</v>
      </c>
      <c r="E51" s="163" t="s">
        <v>559</v>
      </c>
      <c r="F51" s="164"/>
      <c r="G51" s="164"/>
      <c r="H51" s="164"/>
      <c r="I51" s="165"/>
    </row>
  </sheetData>
  <mergeCells count="42">
    <mergeCell ref="E51:I51"/>
    <mergeCell ref="E50:I50"/>
    <mergeCell ref="E49:I49"/>
    <mergeCell ref="E48:I48"/>
    <mergeCell ref="E23:I23"/>
    <mergeCell ref="E31:I31"/>
    <mergeCell ref="E34:I34"/>
    <mergeCell ref="E26:I26"/>
    <mergeCell ref="E25:I25"/>
    <mergeCell ref="E24:I24"/>
    <mergeCell ref="E27:I27"/>
    <mergeCell ref="E28:I28"/>
    <mergeCell ref="E29:I29"/>
    <mergeCell ref="E30:I30"/>
    <mergeCell ref="E46:I46"/>
    <mergeCell ref="E43:I43"/>
    <mergeCell ref="E37:I37"/>
    <mergeCell ref="E16:I16"/>
    <mergeCell ref="E22:I22"/>
    <mergeCell ref="E21:I21"/>
    <mergeCell ref="E17:I17"/>
    <mergeCell ref="E18:I18"/>
    <mergeCell ref="E19:I19"/>
    <mergeCell ref="E20:I20"/>
    <mergeCell ref="E36:I36"/>
    <mergeCell ref="E35:I35"/>
    <mergeCell ref="E33:I33"/>
    <mergeCell ref="E32:I32"/>
    <mergeCell ref="B7:M7"/>
    <mergeCell ref="B9:M9"/>
    <mergeCell ref="B11:M11"/>
    <mergeCell ref="E14:I14"/>
    <mergeCell ref="E15:I15"/>
    <mergeCell ref="E47:I47"/>
    <mergeCell ref="B38:B39"/>
    <mergeCell ref="E38:I38"/>
    <mergeCell ref="E39:I39"/>
    <mergeCell ref="E40:I40"/>
    <mergeCell ref="E45:I45"/>
    <mergeCell ref="E44:I44"/>
    <mergeCell ref="E41:I41"/>
    <mergeCell ref="E42:I42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2:P31"/>
  <sheetViews>
    <sheetView zoomScaleNormal="100" workbookViewId="0">
      <selection activeCell="H4" sqref="H4:H11"/>
    </sheetView>
  </sheetViews>
  <sheetFormatPr baseColWidth="10" defaultColWidth="11.42578125" defaultRowHeight="15"/>
  <cols>
    <col min="2" max="2" width="36" bestFit="1" customWidth="1"/>
    <col min="3" max="3" width="20.42578125" customWidth="1"/>
    <col min="4" max="4" width="37.42578125" customWidth="1"/>
    <col min="5" max="5" width="16.28515625" customWidth="1"/>
    <col min="6" max="6" width="8.42578125" customWidth="1"/>
    <col min="7" max="7" width="20.5703125" customWidth="1"/>
    <col min="8" max="8" width="76.42578125" customWidth="1"/>
    <col min="13" max="13" width="21.7109375" customWidth="1"/>
    <col min="14" max="14" width="22.7109375" customWidth="1"/>
    <col min="19" max="19" width="11.7109375" customWidth="1"/>
    <col min="20" max="20" width="15.140625" customWidth="1"/>
  </cols>
  <sheetData>
    <row r="2" spans="2:14" ht="15.75" thickBot="1"/>
    <row r="3" spans="2:14" ht="15.75" thickBot="1">
      <c r="G3" s="129" t="s">
        <v>82</v>
      </c>
      <c r="H3" s="122" t="s">
        <v>83</v>
      </c>
      <c r="I3" s="123" t="s">
        <v>84</v>
      </c>
      <c r="J3" s="123" t="s">
        <v>85</v>
      </c>
      <c r="K3" s="123" t="s">
        <v>86</v>
      </c>
      <c r="L3" s="123" t="s">
        <v>87</v>
      </c>
      <c r="M3" s="123" t="s">
        <v>88</v>
      </c>
      <c r="N3" s="124" t="s">
        <v>89</v>
      </c>
    </row>
    <row r="4" spans="2:14" ht="19.149999999999999" customHeight="1">
      <c r="B4" s="37" t="s">
        <v>90</v>
      </c>
      <c r="C4" s="38" t="s">
        <v>91</v>
      </c>
      <c r="D4" s="53" t="s">
        <v>92</v>
      </c>
      <c r="G4" s="182" t="s">
        <v>93</v>
      </c>
      <c r="H4" s="159" t="s">
        <v>553</v>
      </c>
      <c r="I4" s="37">
        <v>7</v>
      </c>
      <c r="J4" s="38" t="str">
        <f t="shared" ref="J4:J11" si="0">DEC2BIN(I4)</f>
        <v>111</v>
      </c>
      <c r="K4" s="38">
        <f>I4*8</f>
        <v>56</v>
      </c>
      <c r="L4" s="38" t="str">
        <f>CONCATENATE(REPT(0,8-LEN(DEC2BIN(K4))),DEC2BIN(K4))</f>
        <v>00111000</v>
      </c>
      <c r="M4" s="38" t="str">
        <f t="shared" ref="M4:M11" si="1">CONCATENATE("10.0.",K4,".0")</f>
        <v>10.0.56.0</v>
      </c>
      <c r="N4" s="39" t="s">
        <v>94</v>
      </c>
    </row>
    <row r="5" spans="2:14">
      <c r="B5" s="54" t="s">
        <v>95</v>
      </c>
      <c r="C5" s="52" t="s">
        <v>96</v>
      </c>
      <c r="D5" s="55" t="s">
        <v>97</v>
      </c>
      <c r="G5" s="183"/>
      <c r="H5" s="158" t="s">
        <v>98</v>
      </c>
      <c r="I5" s="40">
        <v>1</v>
      </c>
      <c r="J5" s="1" t="str">
        <f t="shared" si="0"/>
        <v>1</v>
      </c>
      <c r="K5" s="1">
        <f t="shared" ref="K5:K11" si="2">I5*8</f>
        <v>8</v>
      </c>
      <c r="L5" s="1" t="str">
        <f t="shared" ref="L5:L11" si="3">CONCATENATE(REPT(0,8-LEN(DEC2BIN(K5))),DEC2BIN(K5))</f>
        <v>00001000</v>
      </c>
      <c r="M5" s="1" t="str">
        <f t="shared" si="1"/>
        <v>10.0.8.0</v>
      </c>
      <c r="N5" s="9" t="s">
        <v>94</v>
      </c>
    </row>
    <row r="6" spans="2:14">
      <c r="B6" s="54" t="s">
        <v>99</v>
      </c>
      <c r="C6" s="52" t="s">
        <v>100</v>
      </c>
      <c r="D6" s="55" t="s">
        <v>101</v>
      </c>
      <c r="G6" s="183"/>
      <c r="H6" s="130" t="s">
        <v>102</v>
      </c>
      <c r="I6" s="40">
        <v>2</v>
      </c>
      <c r="J6" s="1" t="str">
        <f t="shared" si="0"/>
        <v>10</v>
      </c>
      <c r="K6" s="1">
        <f t="shared" si="2"/>
        <v>16</v>
      </c>
      <c r="L6" s="1" t="str">
        <f t="shared" si="3"/>
        <v>00010000</v>
      </c>
      <c r="M6" s="1" t="str">
        <f t="shared" si="1"/>
        <v>10.0.16.0</v>
      </c>
      <c r="N6" s="9" t="s">
        <v>94</v>
      </c>
    </row>
    <row r="7" spans="2:14">
      <c r="B7" s="54" t="s">
        <v>103</v>
      </c>
      <c r="C7" s="52" t="s">
        <v>104</v>
      </c>
      <c r="D7" s="55" t="s">
        <v>105</v>
      </c>
      <c r="G7" s="183"/>
      <c r="H7" s="131" t="s">
        <v>106</v>
      </c>
      <c r="I7" s="40">
        <v>3</v>
      </c>
      <c r="J7" s="1" t="str">
        <f t="shared" si="0"/>
        <v>11</v>
      </c>
      <c r="K7" s="1">
        <f t="shared" si="2"/>
        <v>24</v>
      </c>
      <c r="L7" s="1" t="str">
        <f t="shared" si="3"/>
        <v>00011000</v>
      </c>
      <c r="M7" s="1" t="str">
        <f t="shared" si="1"/>
        <v>10.0.24.0</v>
      </c>
      <c r="N7" s="9" t="s">
        <v>94</v>
      </c>
    </row>
    <row r="8" spans="2:14" ht="15.75" thickBot="1">
      <c r="B8" s="56" t="s">
        <v>107</v>
      </c>
      <c r="C8" s="57" t="s">
        <v>108</v>
      </c>
      <c r="D8" s="58" t="s">
        <v>109</v>
      </c>
      <c r="E8" t="s">
        <v>110</v>
      </c>
      <c r="G8" s="183"/>
      <c r="H8" s="132" t="s">
        <v>111</v>
      </c>
      <c r="I8" s="40">
        <v>4</v>
      </c>
      <c r="J8" s="1" t="str">
        <f t="shared" si="0"/>
        <v>100</v>
      </c>
      <c r="K8" s="1">
        <f t="shared" si="2"/>
        <v>32</v>
      </c>
      <c r="L8" s="1" t="str">
        <f t="shared" si="3"/>
        <v>00100000</v>
      </c>
      <c r="M8" s="1" t="str">
        <f t="shared" si="1"/>
        <v>10.0.32.0</v>
      </c>
      <c r="N8" s="9" t="s">
        <v>94</v>
      </c>
    </row>
    <row r="9" spans="2:14" ht="15.75" thickBot="1">
      <c r="G9" s="183"/>
      <c r="H9" s="133" t="s">
        <v>112</v>
      </c>
      <c r="I9" s="40">
        <v>5</v>
      </c>
      <c r="J9" s="1" t="str">
        <f t="shared" si="0"/>
        <v>101</v>
      </c>
      <c r="K9" s="1">
        <f t="shared" si="2"/>
        <v>40</v>
      </c>
      <c r="L9" s="1" t="str">
        <f t="shared" si="3"/>
        <v>00101000</v>
      </c>
      <c r="M9" s="1" t="str">
        <f t="shared" si="1"/>
        <v>10.0.40.0</v>
      </c>
      <c r="N9" s="9" t="s">
        <v>94</v>
      </c>
    </row>
    <row r="10" spans="2:14" ht="15.75" thickBot="1">
      <c r="D10" s="45" t="s">
        <v>113</v>
      </c>
      <c r="E10" s="45" t="s">
        <v>114</v>
      </c>
      <c r="G10" s="183"/>
      <c r="H10" s="156" t="s">
        <v>554</v>
      </c>
      <c r="I10" s="40">
        <v>6</v>
      </c>
      <c r="J10" s="1" t="str">
        <f t="shared" si="0"/>
        <v>110</v>
      </c>
      <c r="K10" s="1">
        <f t="shared" si="2"/>
        <v>48</v>
      </c>
      <c r="L10" s="1" t="str">
        <f t="shared" si="3"/>
        <v>00110000</v>
      </c>
      <c r="M10" s="1" t="str">
        <f t="shared" si="1"/>
        <v>10.0.48.0</v>
      </c>
      <c r="N10" s="9" t="s">
        <v>94</v>
      </c>
    </row>
    <row r="11" spans="2:14" ht="15.75" thickBot="1">
      <c r="B11" s="59" t="s">
        <v>115</v>
      </c>
      <c r="C11" s="38">
        <v>7</v>
      </c>
      <c r="D11" s="38" t="str">
        <f>DEC2BIN(C11)</f>
        <v>111</v>
      </c>
      <c r="E11" s="39">
        <v>3</v>
      </c>
      <c r="G11" s="184"/>
      <c r="H11" s="157" t="s">
        <v>555</v>
      </c>
      <c r="I11" s="94">
        <v>0</v>
      </c>
      <c r="J11" s="41" t="str">
        <f t="shared" si="0"/>
        <v>0</v>
      </c>
      <c r="K11" s="41">
        <f t="shared" si="2"/>
        <v>0</v>
      </c>
      <c r="L11" s="41" t="str">
        <f t="shared" si="3"/>
        <v>00000000</v>
      </c>
      <c r="M11" s="41" t="str">
        <f t="shared" si="1"/>
        <v>10.0.0.0</v>
      </c>
      <c r="N11" s="42" t="s">
        <v>94</v>
      </c>
    </row>
    <row r="12" spans="2:14">
      <c r="B12" s="54" t="s">
        <v>116</v>
      </c>
      <c r="C12" s="1">
        <v>31</v>
      </c>
      <c r="D12" s="1" t="str">
        <f>DEC2BIN(C12)</f>
        <v>11111</v>
      </c>
      <c r="E12" s="9">
        <v>5</v>
      </c>
    </row>
    <row r="13" spans="2:14" ht="15.75" customHeight="1" thickBot="1">
      <c r="B13" s="56" t="s">
        <v>117</v>
      </c>
      <c r="C13" s="41">
        <v>63</v>
      </c>
      <c r="D13" s="41" t="str">
        <f>DEC2BIN(C13)</f>
        <v>111111</v>
      </c>
      <c r="E13" s="42">
        <v>6</v>
      </c>
    </row>
    <row r="14" spans="2:14" ht="15.75" thickBot="1">
      <c r="E14" s="45">
        <f>SUM(E11:E13)</f>
        <v>14</v>
      </c>
    </row>
    <row r="17" spans="2:16" ht="15.75" thickBot="1"/>
    <row r="18" spans="2:16" ht="15.75" thickBot="1">
      <c r="B18" s="100" t="s">
        <v>118</v>
      </c>
      <c r="C18" s="185" t="s">
        <v>119</v>
      </c>
      <c r="D18" s="186"/>
      <c r="E18" s="187"/>
      <c r="F18" s="101" t="s">
        <v>120</v>
      </c>
      <c r="G18" s="102">
        <v>9</v>
      </c>
    </row>
    <row r="19" spans="2:16">
      <c r="B19" s="104" t="s">
        <v>121</v>
      </c>
      <c r="C19" s="105"/>
      <c r="D19" s="106" t="s">
        <v>122</v>
      </c>
      <c r="E19" s="107" t="s">
        <v>123</v>
      </c>
      <c r="F19" s="108"/>
      <c r="G19" s="108" t="str">
        <f>DEC2BIN(G18)</f>
        <v>1001</v>
      </c>
      <c r="H19" s="103"/>
    </row>
    <row r="20" spans="2:16">
      <c r="B20" s="110" t="s">
        <v>124</v>
      </c>
      <c r="C20" s="109" t="s">
        <v>125</v>
      </c>
      <c r="D20" s="111">
        <f>BIN2DEC(11100)</f>
        <v>28</v>
      </c>
      <c r="E20" s="108" t="str">
        <f>DEC2BIN(D20)</f>
        <v>11100</v>
      </c>
      <c r="F20" s="108"/>
      <c r="G20" s="108">
        <f>BITWISE_AND(D20,G18)/4</f>
        <v>2</v>
      </c>
      <c r="H20" s="109"/>
    </row>
    <row r="21" spans="2:16" ht="15.75" thickBot="1">
      <c r="B21" s="112" t="s">
        <v>126</v>
      </c>
      <c r="C21" s="113" t="s">
        <v>127</v>
      </c>
      <c r="D21" s="114">
        <f>BIN2DEC(11)</f>
        <v>3</v>
      </c>
      <c r="E21" s="115" t="str">
        <f>DEC2BIN(D21)</f>
        <v>11</v>
      </c>
      <c r="F21" s="115"/>
      <c r="G21" s="115">
        <f>BITWISE_AND(D21,G18)</f>
        <v>1</v>
      </c>
      <c r="H21" s="109" t="str">
        <f>DEC2BIN(G20)</f>
        <v>10</v>
      </c>
      <c r="M21" s="116"/>
    </row>
    <row r="22" spans="2:16" ht="15.75" thickBot="1">
      <c r="H22" s="113" t="str">
        <f>DEC2BIN(G21)</f>
        <v>1</v>
      </c>
    </row>
    <row r="23" spans="2:16" ht="15.75" thickBot="1">
      <c r="C23" s="45" t="s">
        <v>128</v>
      </c>
    </row>
    <row r="24" spans="2:16" ht="15.75" thickBot="1">
      <c r="C24" s="37" t="s">
        <v>129</v>
      </c>
      <c r="D24" s="39">
        <v>7</v>
      </c>
      <c r="E24" s="98" t="s">
        <v>130</v>
      </c>
      <c r="F24" s="96">
        <v>10</v>
      </c>
      <c r="G24" s="95">
        <v>0</v>
      </c>
      <c r="M24" s="47" t="s">
        <v>131</v>
      </c>
      <c r="N24" s="28" t="s">
        <v>132</v>
      </c>
      <c r="O24" s="29" t="s">
        <v>133</v>
      </c>
      <c r="P24" s="30" t="s">
        <v>84</v>
      </c>
    </row>
    <row r="25" spans="2:16" ht="15.75" thickBot="1">
      <c r="C25" s="40" t="s">
        <v>134</v>
      </c>
      <c r="D25" s="9">
        <v>23</v>
      </c>
      <c r="E25" s="98" t="s">
        <v>135</v>
      </c>
      <c r="F25" s="95" t="str">
        <f>DEC2BIN(F24)</f>
        <v>1010</v>
      </c>
      <c r="G25" s="95" t="str">
        <f>DEC2BIN(G24)</f>
        <v>0</v>
      </c>
      <c r="H25" s="95">
        <f>(BITWISE_AND($D$20,D25)/4)+D24*8</f>
        <v>61</v>
      </c>
      <c r="I25" s="97">
        <f>(BITWISE_AND($D$21,D25)*64)+D26*10+D27</f>
        <v>209</v>
      </c>
      <c r="J25" s="99" t="str">
        <f>CONCATENATE("10.0.",TEXT(H25,"0"),".",TEXT(I25,"0"))</f>
        <v>10.0.61.209</v>
      </c>
      <c r="M25" s="188" t="s">
        <v>136</v>
      </c>
      <c r="N25" s="27" t="s">
        <v>137</v>
      </c>
      <c r="O25" s="3" t="s">
        <v>138</v>
      </c>
      <c r="P25" s="3" t="s">
        <v>139</v>
      </c>
    </row>
    <row r="26" spans="2:16" ht="15.75" thickBot="1">
      <c r="C26" s="40" t="s">
        <v>140</v>
      </c>
      <c r="D26" s="9">
        <v>1</v>
      </c>
      <c r="H26" s="95" t="str">
        <f>DEC2BIN(H25)</f>
        <v>111101</v>
      </c>
      <c r="I26" s="95" t="str">
        <f>DEC2BIN(I25)</f>
        <v>11010001</v>
      </c>
      <c r="M26" s="189"/>
      <c r="N26" s="24" t="s">
        <v>141</v>
      </c>
      <c r="O26" s="1" t="s">
        <v>142</v>
      </c>
      <c r="P26" s="1" t="s">
        <v>143</v>
      </c>
    </row>
    <row r="27" spans="2:16" ht="15.75" thickBot="1">
      <c r="C27" s="94" t="s">
        <v>144</v>
      </c>
      <c r="D27" s="42">
        <v>7</v>
      </c>
      <c r="M27" s="189"/>
      <c r="N27" s="24" t="s">
        <v>145</v>
      </c>
      <c r="O27" s="1" t="s">
        <v>146</v>
      </c>
      <c r="P27" s="1" t="s">
        <v>147</v>
      </c>
    </row>
    <row r="28" spans="2:16">
      <c r="M28" s="189"/>
      <c r="N28" s="24" t="s">
        <v>148</v>
      </c>
      <c r="O28" s="1" t="s">
        <v>149</v>
      </c>
      <c r="P28" s="1" t="s">
        <v>150</v>
      </c>
    </row>
    <row r="29" spans="2:16">
      <c r="M29" s="189"/>
      <c r="N29" s="24" t="s">
        <v>151</v>
      </c>
      <c r="O29" s="1" t="s">
        <v>152</v>
      </c>
      <c r="P29" s="1" t="s">
        <v>153</v>
      </c>
    </row>
    <row r="30" spans="2:16" ht="15.75" thickBot="1">
      <c r="B30" t="s">
        <v>154</v>
      </c>
      <c r="G30" t="s">
        <v>155</v>
      </c>
      <c r="M30" s="190"/>
      <c r="N30" s="24" t="s">
        <v>156</v>
      </c>
      <c r="O30" s="1" t="s">
        <v>157</v>
      </c>
      <c r="P30" s="1" t="s">
        <v>158</v>
      </c>
    </row>
    <row r="31" spans="2:16">
      <c r="B31" s="153" t="s">
        <v>159</v>
      </c>
    </row>
  </sheetData>
  <mergeCells count="3">
    <mergeCell ref="G4:G11"/>
    <mergeCell ref="C18:E18"/>
    <mergeCell ref="M25:M30"/>
  </mergeCells>
  <phoneticPr fontId="18" type="noConversion"/>
  <conditionalFormatting sqref="D24">
    <cfRule type="cellIs" dxfId="24" priority="4" operator="greaterThan">
      <formula>7</formula>
    </cfRule>
  </conditionalFormatting>
  <conditionalFormatting sqref="D25">
    <cfRule type="cellIs" dxfId="23" priority="3" operator="greaterThan">
      <formula>31</formula>
    </cfRule>
  </conditionalFormatting>
  <conditionalFormatting sqref="D26">
    <cfRule type="cellIs" dxfId="22" priority="2" operator="greaterThan">
      <formula>6</formula>
    </cfRule>
  </conditionalFormatting>
  <conditionalFormatting sqref="D27">
    <cfRule type="cellIs" dxfId="21" priority="1" operator="greaterThan">
      <formula>10</formula>
    </cfRule>
  </conditionalFormatting>
  <hyperlinks>
    <hyperlink ref="B31" location="'Reserved Fixed IPs'!A1" display="'Reserved Fixed IPs'!A1" xr:uid="{E9FCF5D4-E0FD-431E-9313-F0C0C8C1AC93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DU112"/>
  <sheetViews>
    <sheetView tabSelected="1" topLeftCell="BU1" zoomScaleNormal="100" workbookViewId="0">
      <selection activeCell="CO20" sqref="CO20:CV20"/>
    </sheetView>
  </sheetViews>
  <sheetFormatPr baseColWidth="10" defaultColWidth="11.42578125" defaultRowHeight="15"/>
  <cols>
    <col min="1" max="1" width="3.28515625" customWidth="1"/>
    <col min="2" max="2" width="4.28515625" customWidth="1"/>
    <col min="3" max="4" width="6" bestFit="1" customWidth="1"/>
    <col min="5" max="5" width="7.28515625" bestFit="1" customWidth="1"/>
    <col min="6" max="6" width="6.7109375" bestFit="1" customWidth="1"/>
    <col min="7" max="7" width="25" bestFit="1" customWidth="1"/>
    <col min="8" max="8" width="11.5703125" customWidth="1"/>
    <col min="9" max="9" width="5.5703125" bestFit="1" customWidth="1"/>
    <col min="10" max="11" width="6" bestFit="1" customWidth="1"/>
    <col min="12" max="12" width="7.28515625" bestFit="1" customWidth="1"/>
    <col min="13" max="13" width="6.7109375" bestFit="1" customWidth="1"/>
    <col min="14" max="14" width="15.85546875" bestFit="1" customWidth="1"/>
    <col min="15" max="15" width="11.28515625" customWidth="1"/>
    <col min="16" max="16" width="7.140625" customWidth="1"/>
    <col min="17" max="18" width="6" bestFit="1" customWidth="1"/>
    <col min="19" max="19" width="7.28515625" bestFit="1" customWidth="1"/>
    <col min="20" max="20" width="6.7109375" bestFit="1" customWidth="1"/>
    <col min="21" max="21" width="21.85546875" customWidth="1"/>
    <col min="22" max="22" width="14.85546875" customWidth="1"/>
    <col min="23" max="23" width="3.42578125" customWidth="1"/>
    <col min="24" max="24" width="2.7109375" customWidth="1"/>
    <col min="25" max="25" width="4.7109375" customWidth="1"/>
    <col min="26" max="27" width="6" bestFit="1" customWidth="1"/>
    <col min="28" max="28" width="7.28515625" bestFit="1" customWidth="1"/>
    <col min="29" max="29" width="6.7109375" bestFit="1" customWidth="1"/>
    <col min="30" max="30" width="53" customWidth="1"/>
    <col min="31" max="31" width="29.5703125" customWidth="1"/>
    <col min="32" max="32" width="4.7109375" customWidth="1"/>
    <col min="33" max="34" width="6" bestFit="1" customWidth="1"/>
    <col min="35" max="35" width="7.28515625" bestFit="1" customWidth="1"/>
    <col min="36" max="36" width="6.7109375" bestFit="1" customWidth="1"/>
    <col min="37" max="37" width="48.28515625" customWidth="1"/>
    <col min="38" max="38" width="10" bestFit="1" customWidth="1"/>
    <col min="39" max="39" width="6" customWidth="1"/>
    <col min="40" max="40" width="2.42578125" customWidth="1"/>
    <col min="41" max="41" width="4.7109375" customWidth="1"/>
    <col min="42" max="42" width="6.28515625" customWidth="1"/>
    <col min="43" max="43" width="6" bestFit="1" customWidth="1"/>
    <col min="44" max="44" width="7.28515625" bestFit="1" customWidth="1"/>
    <col min="45" max="45" width="6.7109375" bestFit="1" customWidth="1"/>
    <col min="46" max="46" width="54" customWidth="1"/>
    <col min="47" max="47" width="10.7109375" bestFit="1" customWidth="1"/>
    <col min="48" max="48" width="5" customWidth="1"/>
    <col min="49" max="49" width="2.7109375" customWidth="1"/>
    <col min="50" max="50" width="7.28515625" customWidth="1"/>
    <col min="51" max="51" width="6.7109375" customWidth="1"/>
    <col min="52" max="52" width="6" bestFit="1" customWidth="1"/>
    <col min="53" max="53" width="7.28515625" bestFit="1" customWidth="1"/>
    <col min="54" max="54" width="6.7109375" bestFit="1" customWidth="1"/>
    <col min="55" max="55" width="50.7109375" customWidth="1"/>
    <col min="56" max="56" width="11.28515625" bestFit="1" customWidth="1"/>
    <col min="57" max="57" width="6" customWidth="1"/>
    <col min="58" max="58" width="2.7109375" customWidth="1"/>
    <col min="59" max="59" width="4.7109375" customWidth="1"/>
    <col min="60" max="60" width="6.7109375" customWidth="1"/>
    <col min="61" max="61" width="6" bestFit="1" customWidth="1"/>
    <col min="62" max="62" width="7.28515625" bestFit="1" customWidth="1"/>
    <col min="63" max="63" width="6.7109375" bestFit="1" customWidth="1"/>
    <col min="64" max="64" width="50.140625" customWidth="1"/>
    <col min="65" max="65" width="29.85546875" customWidth="1"/>
    <col min="66" max="66" width="6" customWidth="1"/>
    <col min="67" max="67" width="2.7109375" customWidth="1"/>
    <col min="68" max="68" width="4.7109375" customWidth="1"/>
    <col min="69" max="69" width="6.42578125" customWidth="1"/>
    <col min="70" max="70" width="6" bestFit="1" customWidth="1"/>
    <col min="71" max="71" width="7.28515625" bestFit="1" customWidth="1"/>
    <col min="72" max="72" width="6.7109375" bestFit="1" customWidth="1"/>
    <col min="73" max="73" width="42.5703125" customWidth="1"/>
    <col min="74" max="74" width="9.5703125" bestFit="1" customWidth="1"/>
    <col min="75" max="75" width="6" customWidth="1"/>
    <col min="76" max="76" width="2.7109375" customWidth="1"/>
    <col min="77" max="77" width="4.7109375" customWidth="1"/>
    <col min="78" max="78" width="7" customWidth="1"/>
    <col min="79" max="79" width="6" bestFit="1" customWidth="1"/>
    <col min="80" max="80" width="7.28515625" bestFit="1" customWidth="1"/>
    <col min="81" max="81" width="6.7109375" bestFit="1" customWidth="1"/>
    <col min="82" max="82" width="41.28515625" customWidth="1"/>
    <col min="83" max="83" width="10.42578125" bestFit="1" customWidth="1"/>
    <col min="84" max="84" width="4.7109375" customWidth="1"/>
    <col min="85" max="86" width="6" bestFit="1" customWidth="1"/>
    <col min="87" max="87" width="7.28515625" bestFit="1" customWidth="1"/>
    <col min="88" max="88" width="6.7109375" bestFit="1" customWidth="1"/>
    <col min="89" max="89" width="45.7109375" customWidth="1"/>
    <col min="90" max="90" width="10.42578125" bestFit="1" customWidth="1"/>
    <col min="91" max="91" width="6" customWidth="1"/>
    <col min="92" max="92" width="2.7109375" customWidth="1"/>
    <col min="93" max="93" width="4.7109375" customWidth="1"/>
    <col min="94" max="94" width="5.42578125" customWidth="1"/>
    <col min="95" max="95" width="6" bestFit="1" customWidth="1"/>
    <col min="96" max="96" width="7.28515625" bestFit="1" customWidth="1"/>
    <col min="97" max="97" width="6.7109375" bestFit="1" customWidth="1"/>
    <col min="98" max="98" width="49.7109375" customWidth="1"/>
    <col min="99" max="99" width="10.7109375" bestFit="1" customWidth="1"/>
    <col min="100" max="100" width="6" customWidth="1"/>
    <col min="101" max="101" width="2.7109375" customWidth="1"/>
    <col min="102" max="102" width="4.7109375" customWidth="1"/>
    <col min="103" max="103" width="5.28515625" customWidth="1"/>
    <col min="104" max="104" width="6" bestFit="1" customWidth="1"/>
    <col min="105" max="105" width="7.28515625" bestFit="1" customWidth="1"/>
    <col min="106" max="106" width="6.7109375" bestFit="1" customWidth="1"/>
    <col min="107" max="107" width="48.140625" customWidth="1"/>
    <col min="108" max="108" width="9.5703125" bestFit="1" customWidth="1"/>
    <col min="109" max="109" width="6" customWidth="1"/>
    <col min="110" max="110" width="2.7109375" customWidth="1"/>
    <col min="111" max="111" width="4.28515625" customWidth="1"/>
    <col min="112" max="113" width="6" bestFit="1" customWidth="1"/>
    <col min="114" max="114" width="7.28515625" bestFit="1" customWidth="1"/>
    <col min="115" max="115" width="6.7109375" bestFit="1" customWidth="1"/>
    <col min="116" max="116" width="49.7109375" bestFit="1" customWidth="1"/>
    <col min="117" max="117" width="18.28515625" customWidth="1"/>
    <col min="118" max="118" width="7.140625" customWidth="1"/>
    <col min="119" max="120" width="6" bestFit="1" customWidth="1"/>
    <col min="121" max="121" width="7.28515625" bestFit="1" customWidth="1"/>
    <col min="122" max="122" width="6.7109375" bestFit="1" customWidth="1"/>
    <col min="123" max="123" width="39.7109375" customWidth="1"/>
    <col min="124" max="124" width="10.7109375" bestFit="1" customWidth="1"/>
    <col min="125" max="125" width="3.42578125" customWidth="1"/>
    <col min="126" max="126" width="3.7109375" customWidth="1"/>
  </cols>
  <sheetData>
    <row r="1" spans="7:92"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</row>
    <row r="2" spans="7:92"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</row>
    <row r="3" spans="7:92"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</row>
    <row r="4" spans="7:92"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</row>
    <row r="5" spans="7:92"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</row>
    <row r="6" spans="7:92"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</row>
    <row r="7" spans="7:92"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</row>
    <row r="8" spans="7:92"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</row>
    <row r="9" spans="7:92"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</row>
    <row r="10" spans="7:92"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</row>
    <row r="11" spans="7:92"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</row>
    <row r="12" spans="7:92"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</row>
    <row r="13" spans="7:92"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</row>
    <row r="14" spans="7:92"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</row>
    <row r="15" spans="7:92"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</row>
    <row r="16" spans="7:92">
      <c r="G16" t="s">
        <v>160</v>
      </c>
      <c r="H16" t="s">
        <v>161</v>
      </c>
      <c r="I16" t="s">
        <v>162</v>
      </c>
      <c r="J16" t="s">
        <v>163</v>
      </c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</row>
    <row r="17" spans="2:125"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</row>
    <row r="18" spans="2:125" ht="15.75" thickBot="1"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</row>
    <row r="19" spans="2:125" ht="15.75" thickBot="1">
      <c r="C19" s="197" t="s">
        <v>164</v>
      </c>
      <c r="D19" s="198"/>
      <c r="E19" s="198"/>
      <c r="F19" s="199"/>
      <c r="G19" s="46">
        <v>1</v>
      </c>
      <c r="X19" s="35"/>
      <c r="Y19" s="35"/>
      <c r="Z19" s="197" t="s">
        <v>164</v>
      </c>
      <c r="AA19" s="198"/>
      <c r="AB19" s="198"/>
      <c r="AC19" s="199"/>
      <c r="AD19" s="46">
        <v>1</v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97" t="s">
        <v>164</v>
      </c>
      <c r="AQ19" s="198"/>
      <c r="AR19" s="198"/>
      <c r="AS19" s="199"/>
      <c r="AT19" s="46">
        <v>2</v>
      </c>
      <c r="AY19" s="197" t="s">
        <v>164</v>
      </c>
      <c r="AZ19" s="198"/>
      <c r="BA19" s="198"/>
      <c r="BB19" s="199"/>
      <c r="BC19" s="46">
        <v>9</v>
      </c>
      <c r="BH19" s="197" t="s">
        <v>164</v>
      </c>
      <c r="BI19" s="198"/>
      <c r="BJ19" s="198"/>
      <c r="BK19" s="199"/>
      <c r="BL19" s="46">
        <v>11</v>
      </c>
      <c r="BQ19" s="197" t="s">
        <v>164</v>
      </c>
      <c r="BR19" s="198"/>
      <c r="BS19" s="198"/>
      <c r="BT19" s="199"/>
      <c r="BU19" s="46">
        <v>12</v>
      </c>
      <c r="BX19" s="35"/>
      <c r="BY19" s="35"/>
      <c r="BZ19" s="197" t="s">
        <v>164</v>
      </c>
      <c r="CA19" s="198"/>
      <c r="CB19" s="198"/>
      <c r="CC19" s="199"/>
      <c r="CD19" s="46">
        <v>13</v>
      </c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P19" s="197" t="s">
        <v>164</v>
      </c>
      <c r="CQ19" s="198"/>
      <c r="CR19" s="198"/>
      <c r="CS19" s="199"/>
      <c r="CT19" s="46">
        <v>14</v>
      </c>
      <c r="CY19" s="197" t="s">
        <v>164</v>
      </c>
      <c r="CZ19" s="198"/>
      <c r="DA19" s="198"/>
      <c r="DB19" s="199"/>
      <c r="DC19" s="46">
        <v>16</v>
      </c>
      <c r="DH19" s="197" t="s">
        <v>164</v>
      </c>
      <c r="DI19" s="198"/>
      <c r="DJ19" s="198"/>
      <c r="DK19" s="199"/>
      <c r="DL19" s="46">
        <v>17</v>
      </c>
    </row>
    <row r="20" spans="2:125" ht="15.75" thickBot="1">
      <c r="B20" s="205" t="s">
        <v>165</v>
      </c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7"/>
      <c r="X20" s="35"/>
      <c r="Y20" s="202" t="s">
        <v>166</v>
      </c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4"/>
      <c r="AN20" s="35"/>
      <c r="AO20" s="202" t="s">
        <v>167</v>
      </c>
      <c r="AP20" s="203"/>
      <c r="AQ20" s="203"/>
      <c r="AR20" s="203"/>
      <c r="AS20" s="203"/>
      <c r="AT20" s="203"/>
      <c r="AU20" s="203"/>
      <c r="AV20" s="204"/>
      <c r="AX20" s="202" t="s">
        <v>168</v>
      </c>
      <c r="AY20" s="203"/>
      <c r="AZ20" s="203"/>
      <c r="BA20" s="203"/>
      <c r="BB20" s="203"/>
      <c r="BC20" s="203"/>
      <c r="BD20" s="203"/>
      <c r="BE20" s="204"/>
      <c r="BG20" s="202" t="s">
        <v>169</v>
      </c>
      <c r="BH20" s="203"/>
      <c r="BI20" s="203"/>
      <c r="BJ20" s="203"/>
      <c r="BK20" s="203"/>
      <c r="BL20" s="203"/>
      <c r="BM20" s="203"/>
      <c r="BN20" s="204"/>
      <c r="BP20" s="202" t="s">
        <v>170</v>
      </c>
      <c r="BQ20" s="203"/>
      <c r="BR20" s="203"/>
      <c r="BS20" s="203"/>
      <c r="BT20" s="203"/>
      <c r="BU20" s="203"/>
      <c r="BV20" s="203"/>
      <c r="BW20" s="204"/>
      <c r="BX20" s="35"/>
      <c r="BY20" s="202" t="s">
        <v>171</v>
      </c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4"/>
      <c r="CN20" s="35"/>
      <c r="CO20" s="202" t="s">
        <v>560</v>
      </c>
      <c r="CP20" s="203"/>
      <c r="CQ20" s="203"/>
      <c r="CR20" s="203"/>
      <c r="CS20" s="203"/>
      <c r="CT20" s="203"/>
      <c r="CU20" s="203"/>
      <c r="CV20" s="204"/>
      <c r="CX20" s="202" t="s">
        <v>173</v>
      </c>
      <c r="CY20" s="203"/>
      <c r="CZ20" s="203"/>
      <c r="DA20" s="203"/>
      <c r="DB20" s="203"/>
      <c r="DC20" s="203"/>
      <c r="DD20" s="203"/>
      <c r="DE20" s="204"/>
      <c r="DG20" s="205" t="s">
        <v>174</v>
      </c>
      <c r="DH20" s="206"/>
      <c r="DI20" s="206"/>
      <c r="DJ20" s="206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07"/>
    </row>
    <row r="21" spans="2:125" ht="15.75" thickBot="1">
      <c r="B21" s="5"/>
      <c r="C21" s="20"/>
      <c r="D21" s="20"/>
      <c r="E21" s="20"/>
      <c r="F21" s="20"/>
      <c r="G21" s="20"/>
      <c r="H21" s="20"/>
      <c r="I21" s="6"/>
      <c r="J21" s="20"/>
      <c r="K21" s="20"/>
      <c r="L21" s="20"/>
      <c r="M21" s="20"/>
      <c r="N21" s="20"/>
      <c r="O21" s="20"/>
      <c r="P21" s="6"/>
      <c r="Q21" s="20"/>
      <c r="R21" s="20"/>
      <c r="S21" s="20"/>
      <c r="T21" s="20"/>
      <c r="U21" s="20"/>
      <c r="V21" s="20"/>
      <c r="W21" s="7"/>
      <c r="X21" s="35"/>
      <c r="Y21" s="5"/>
      <c r="Z21" s="20"/>
      <c r="AA21" s="20"/>
      <c r="AB21" s="20"/>
      <c r="AC21" s="20"/>
      <c r="AD21" s="146"/>
      <c r="AE21" s="20"/>
      <c r="AF21" s="5"/>
      <c r="AG21" s="20"/>
      <c r="AH21" s="20"/>
      <c r="AI21" s="20"/>
      <c r="AJ21" s="20"/>
      <c r="AK21" s="20"/>
      <c r="AL21" s="20"/>
      <c r="AM21" s="7"/>
      <c r="AN21" s="35"/>
      <c r="AO21" s="5"/>
      <c r="AP21" s="20"/>
      <c r="AQ21" s="20"/>
      <c r="AR21" s="20"/>
      <c r="AS21" s="20"/>
      <c r="AT21" s="20"/>
      <c r="AU21" s="20"/>
      <c r="AV21" s="7"/>
      <c r="AX21" s="5"/>
      <c r="AY21" s="20"/>
      <c r="AZ21" s="20"/>
      <c r="BA21" s="20"/>
      <c r="BB21" s="20"/>
      <c r="BC21" s="20"/>
      <c r="BD21" s="20"/>
      <c r="BE21" s="7"/>
      <c r="BG21" s="5"/>
      <c r="BH21" s="20"/>
      <c r="BI21" s="20"/>
      <c r="BJ21" s="20"/>
      <c r="BK21" s="20"/>
      <c r="BL21" s="20"/>
      <c r="BM21" s="20"/>
      <c r="BN21" s="7"/>
      <c r="BP21" s="5"/>
      <c r="BQ21" s="20"/>
      <c r="BR21" s="20"/>
      <c r="BS21" s="20"/>
      <c r="BT21" s="20"/>
      <c r="BU21" s="20"/>
      <c r="BV21" s="20"/>
      <c r="BW21" s="7"/>
      <c r="BX21" s="35"/>
      <c r="BY21" s="5"/>
      <c r="BZ21" s="20"/>
      <c r="CA21" s="20"/>
      <c r="CB21" s="20"/>
      <c r="CC21" s="20"/>
      <c r="CD21" s="20"/>
      <c r="CE21" s="20"/>
      <c r="CF21" s="5"/>
      <c r="CG21" s="20"/>
      <c r="CH21" s="20"/>
      <c r="CI21" s="20"/>
      <c r="CJ21" s="20"/>
      <c r="CK21" s="20"/>
      <c r="CL21" s="20"/>
      <c r="CM21" s="7"/>
      <c r="CN21" s="35"/>
      <c r="CO21" s="5"/>
      <c r="CP21" s="20"/>
      <c r="CQ21" s="20"/>
      <c r="CR21" s="20"/>
      <c r="CS21" s="20"/>
      <c r="CT21" s="20"/>
      <c r="CU21" s="20"/>
      <c r="CV21" s="7"/>
      <c r="CX21" s="5"/>
      <c r="CY21" s="20"/>
      <c r="CZ21" s="20"/>
      <c r="DA21" s="20"/>
      <c r="DB21" s="20"/>
      <c r="DC21" s="20"/>
      <c r="DD21" s="20"/>
      <c r="DE21" s="7"/>
      <c r="DG21" s="5"/>
      <c r="DH21" s="20"/>
      <c r="DI21" s="20"/>
      <c r="DJ21" s="20"/>
      <c r="DK21" s="20"/>
      <c r="DL21" s="20"/>
      <c r="DM21" s="20"/>
      <c r="DN21" s="6"/>
      <c r="DO21" s="20"/>
      <c r="DP21" s="20"/>
      <c r="DQ21" s="20"/>
      <c r="DR21" s="20"/>
      <c r="DS21" s="20"/>
      <c r="DT21" s="20"/>
      <c r="DU21" s="7"/>
    </row>
    <row r="22" spans="2:125" ht="15.75" thickBot="1">
      <c r="B22" s="19"/>
      <c r="C22" s="122" t="s">
        <v>175</v>
      </c>
      <c r="D22" s="123" t="s">
        <v>144</v>
      </c>
      <c r="E22" s="123" t="s">
        <v>176</v>
      </c>
      <c r="F22" s="123" t="s">
        <v>129</v>
      </c>
      <c r="G22" s="123" t="s">
        <v>140</v>
      </c>
      <c r="H22" s="124" t="s">
        <v>177</v>
      </c>
      <c r="I22" s="21"/>
      <c r="J22" s="122" t="s">
        <v>175</v>
      </c>
      <c r="K22" s="123" t="s">
        <v>144</v>
      </c>
      <c r="L22" s="123" t="s">
        <v>176</v>
      </c>
      <c r="M22" s="123" t="s">
        <v>129</v>
      </c>
      <c r="N22" s="123" t="s">
        <v>140</v>
      </c>
      <c r="O22" s="124" t="s">
        <v>177</v>
      </c>
      <c r="P22" s="21"/>
      <c r="Q22" s="122" t="s">
        <v>175</v>
      </c>
      <c r="R22" s="123" t="s">
        <v>144</v>
      </c>
      <c r="S22" s="123" t="s">
        <v>176</v>
      </c>
      <c r="T22" s="123" t="s">
        <v>129</v>
      </c>
      <c r="U22" s="123" t="s">
        <v>140</v>
      </c>
      <c r="V22" s="124" t="s">
        <v>177</v>
      </c>
      <c r="W22" s="22"/>
      <c r="X22" s="35"/>
      <c r="Y22" s="19"/>
      <c r="Z22" s="122" t="s">
        <v>175</v>
      </c>
      <c r="AA22" s="123" t="s">
        <v>144</v>
      </c>
      <c r="AB22" s="123" t="s">
        <v>176</v>
      </c>
      <c r="AC22" s="123" t="s">
        <v>129</v>
      </c>
      <c r="AD22" s="123" t="s">
        <v>140</v>
      </c>
      <c r="AE22" s="124" t="s">
        <v>177</v>
      </c>
      <c r="AF22" s="19"/>
      <c r="AG22" s="122" t="s">
        <v>175</v>
      </c>
      <c r="AH22" s="123" t="s">
        <v>144</v>
      </c>
      <c r="AI22" s="123" t="s">
        <v>176</v>
      </c>
      <c r="AJ22" s="123" t="s">
        <v>129</v>
      </c>
      <c r="AK22" s="123" t="s">
        <v>140</v>
      </c>
      <c r="AL22" s="124" t="s">
        <v>177</v>
      </c>
      <c r="AM22" s="22"/>
      <c r="AN22" s="35"/>
      <c r="AO22" s="19"/>
      <c r="AP22" s="122" t="s">
        <v>175</v>
      </c>
      <c r="AQ22" s="123" t="s">
        <v>144</v>
      </c>
      <c r="AR22" s="123" t="s">
        <v>176</v>
      </c>
      <c r="AS22" s="123" t="s">
        <v>129</v>
      </c>
      <c r="AT22" s="123" t="s">
        <v>140</v>
      </c>
      <c r="AU22" s="124" t="s">
        <v>177</v>
      </c>
      <c r="AV22" s="22"/>
      <c r="AX22" s="19"/>
      <c r="AY22" s="122" t="s">
        <v>175</v>
      </c>
      <c r="AZ22" s="123" t="s">
        <v>144</v>
      </c>
      <c r="BA22" s="123" t="s">
        <v>176</v>
      </c>
      <c r="BB22" s="123" t="s">
        <v>129</v>
      </c>
      <c r="BC22" s="123" t="s">
        <v>140</v>
      </c>
      <c r="BD22" s="124" t="s">
        <v>177</v>
      </c>
      <c r="BE22" s="22"/>
      <c r="BG22" s="19"/>
      <c r="BH22" s="122" t="s">
        <v>175</v>
      </c>
      <c r="BI22" s="123" t="s">
        <v>144</v>
      </c>
      <c r="BJ22" s="123" t="s">
        <v>176</v>
      </c>
      <c r="BK22" s="123" t="s">
        <v>129</v>
      </c>
      <c r="BL22" s="123" t="s">
        <v>140</v>
      </c>
      <c r="BM22" s="124" t="s">
        <v>177</v>
      </c>
      <c r="BN22" s="22"/>
      <c r="BP22" s="19"/>
      <c r="BQ22" s="122" t="s">
        <v>175</v>
      </c>
      <c r="BR22" s="123" t="s">
        <v>144</v>
      </c>
      <c r="BS22" s="123" t="s">
        <v>176</v>
      </c>
      <c r="BT22" s="123" t="s">
        <v>129</v>
      </c>
      <c r="BU22" s="123" t="s">
        <v>140</v>
      </c>
      <c r="BV22" s="124" t="s">
        <v>177</v>
      </c>
      <c r="BW22" s="22"/>
      <c r="BX22" s="35"/>
      <c r="BY22" s="19"/>
      <c r="BZ22" s="122" t="s">
        <v>175</v>
      </c>
      <c r="CA22" s="123" t="s">
        <v>144</v>
      </c>
      <c r="CB22" s="123" t="s">
        <v>176</v>
      </c>
      <c r="CC22" s="123" t="s">
        <v>129</v>
      </c>
      <c r="CD22" s="123" t="s">
        <v>140</v>
      </c>
      <c r="CE22" s="124" t="s">
        <v>177</v>
      </c>
      <c r="CF22" s="19"/>
      <c r="CG22" s="122" t="s">
        <v>175</v>
      </c>
      <c r="CH22" s="123" t="s">
        <v>144</v>
      </c>
      <c r="CI22" s="123" t="s">
        <v>176</v>
      </c>
      <c r="CJ22" s="123" t="s">
        <v>129</v>
      </c>
      <c r="CK22" s="123" t="s">
        <v>140</v>
      </c>
      <c r="CL22" s="124" t="s">
        <v>177</v>
      </c>
      <c r="CM22" s="22"/>
      <c r="CN22" s="35"/>
      <c r="CO22" s="19"/>
      <c r="CP22" s="122" t="s">
        <v>175</v>
      </c>
      <c r="CQ22" s="123" t="s">
        <v>144</v>
      </c>
      <c r="CR22" s="123" t="s">
        <v>176</v>
      </c>
      <c r="CS22" s="123" t="s">
        <v>129</v>
      </c>
      <c r="CT22" s="123" t="s">
        <v>140</v>
      </c>
      <c r="CU22" s="124" t="s">
        <v>177</v>
      </c>
      <c r="CV22" s="22"/>
      <c r="CX22" s="19"/>
      <c r="CY22" s="122" t="s">
        <v>175</v>
      </c>
      <c r="CZ22" s="123" t="s">
        <v>144</v>
      </c>
      <c r="DA22" s="123" t="s">
        <v>176</v>
      </c>
      <c r="DB22" s="123" t="s">
        <v>129</v>
      </c>
      <c r="DC22" s="123" t="s">
        <v>140</v>
      </c>
      <c r="DD22" s="124" t="s">
        <v>177</v>
      </c>
      <c r="DE22" s="22"/>
      <c r="DG22" s="19"/>
      <c r="DH22" s="122" t="s">
        <v>175</v>
      </c>
      <c r="DI22" s="123" t="s">
        <v>144</v>
      </c>
      <c r="DJ22" s="123" t="s">
        <v>176</v>
      </c>
      <c r="DK22" s="123" t="s">
        <v>129</v>
      </c>
      <c r="DL22" s="123" t="s">
        <v>140</v>
      </c>
      <c r="DM22" s="124" t="s">
        <v>177</v>
      </c>
      <c r="DN22" s="21"/>
      <c r="DO22" s="122" t="s">
        <v>175</v>
      </c>
      <c r="DP22" s="123" t="s">
        <v>144</v>
      </c>
      <c r="DQ22" s="123" t="s">
        <v>176</v>
      </c>
      <c r="DR22" s="123" t="s">
        <v>129</v>
      </c>
      <c r="DS22" s="123" t="s">
        <v>140</v>
      </c>
      <c r="DT22" s="124" t="s">
        <v>177</v>
      </c>
      <c r="DU22" s="22"/>
    </row>
    <row r="23" spans="2:125" ht="14.45" customHeight="1" thickBot="1">
      <c r="B23" s="19"/>
      <c r="C23" s="194" t="s">
        <v>178</v>
      </c>
      <c r="D23" s="195"/>
      <c r="E23" s="195"/>
      <c r="F23" s="195"/>
      <c r="G23" s="196"/>
      <c r="H23" s="125" t="s">
        <v>506</v>
      </c>
      <c r="I23" s="21"/>
      <c r="J23" s="194" t="s">
        <v>178</v>
      </c>
      <c r="K23" s="195"/>
      <c r="L23" s="195"/>
      <c r="M23" s="195"/>
      <c r="N23" s="196"/>
      <c r="O23" s="125" t="s">
        <v>510</v>
      </c>
      <c r="P23" s="21"/>
      <c r="Q23" s="194" t="s">
        <v>178</v>
      </c>
      <c r="R23" s="195"/>
      <c r="S23" s="195"/>
      <c r="T23" s="195"/>
      <c r="U23" s="196"/>
      <c r="V23" s="125" t="s">
        <v>514</v>
      </c>
      <c r="W23" s="22"/>
      <c r="X23" s="35"/>
      <c r="Y23" s="19"/>
      <c r="Z23" s="194" t="s">
        <v>178</v>
      </c>
      <c r="AA23" s="195"/>
      <c r="AB23" s="195"/>
      <c r="AC23" s="195"/>
      <c r="AD23" s="196"/>
      <c r="AE23" s="125" t="s">
        <v>506</v>
      </c>
      <c r="AF23" s="19"/>
      <c r="AG23" s="194" t="s">
        <v>178</v>
      </c>
      <c r="AH23" s="195"/>
      <c r="AI23" s="195"/>
      <c r="AJ23" s="195"/>
      <c r="AK23" s="196"/>
      <c r="AL23" s="121" t="str">
        <f>CONCATENATE("10.0.",TEXT(((BITWISE_AND('IP Address'!$D$20,AD$19)/4)+7*8),"0"),".",TEXT((BITWISE_AND('IP Address'!$D$21,AD$19)*64)+AG24+41,"0"))</f>
        <v>10.0.56.107</v>
      </c>
      <c r="AM23" s="22"/>
      <c r="AN23" s="35"/>
      <c r="AO23" s="19"/>
      <c r="AP23" s="194" t="s">
        <v>178</v>
      </c>
      <c r="AQ23" s="195"/>
      <c r="AR23" s="195"/>
      <c r="AS23" s="195"/>
      <c r="AT23" s="196"/>
      <c r="AU23" s="121" t="str">
        <f>CONCATENATE("10.0.",TEXT(((BITWISE_AND('IP Address'!$D$20,AT$19)/4)+7*8),"0"),".",TEXT((BITWISE_AND('IP Address'!$D$21,AT$19)*64)+AP24+41,"0"))</f>
        <v>10.0.56.169</v>
      </c>
      <c r="AV23" s="22"/>
      <c r="AX23" s="19"/>
      <c r="AY23" s="194" t="s">
        <v>178</v>
      </c>
      <c r="AZ23" s="195"/>
      <c r="BA23" s="195"/>
      <c r="BB23" s="195"/>
      <c r="BC23" s="196"/>
      <c r="BD23" s="121" t="str">
        <f>CONCATENATE("10.0.",TEXT(((BITWISE_AND('IP Address'!$D$20,BC$19)/4)+7*8),"0"),".",TEXT((BITWISE_AND('IP Address'!$D$21,BC$19)*64)+AY24+41,"0"))</f>
        <v>10.0.58.105</v>
      </c>
      <c r="BE23" s="22"/>
      <c r="BG23" s="19"/>
      <c r="BH23" s="194" t="s">
        <v>178</v>
      </c>
      <c r="BI23" s="195"/>
      <c r="BJ23" s="195"/>
      <c r="BK23" s="195"/>
      <c r="BL23" s="196"/>
      <c r="BM23" s="121" t="str">
        <f>CONCATENATE("10.0.",TEXT(((BITWISE_AND('IP Address'!$D$20,BL$19)/4)+7*8),"0"),".",TEXT((BITWISE_AND('IP Address'!$D$21,BL$19)*64)+BH24+41,"0"))</f>
        <v>10.0.58.233</v>
      </c>
      <c r="BN23" s="22"/>
      <c r="BP23" s="19"/>
      <c r="BQ23" s="194" t="s">
        <v>178</v>
      </c>
      <c r="BR23" s="195"/>
      <c r="BS23" s="195"/>
      <c r="BT23" s="195"/>
      <c r="BU23" s="196"/>
      <c r="BV23" s="121" t="str">
        <f>CONCATENATE("10.0.",TEXT(((BITWISE_AND('IP Address'!$D$20,BU$19)/4)+7*8),"0"),".",TEXT((BITWISE_AND('IP Address'!$D$21,BU$19)*64)+BQ24+41,"0"))</f>
        <v>10.0.59.41</v>
      </c>
      <c r="BW23" s="22"/>
      <c r="BX23" s="35"/>
      <c r="BY23" s="19"/>
      <c r="BZ23" s="194" t="s">
        <v>178</v>
      </c>
      <c r="CA23" s="195"/>
      <c r="CB23" s="195"/>
      <c r="CC23" s="195"/>
      <c r="CD23" s="196"/>
      <c r="CE23" s="125" t="s">
        <v>510</v>
      </c>
      <c r="CF23" s="19"/>
      <c r="CG23" s="194" t="s">
        <v>178</v>
      </c>
      <c r="CH23" s="195"/>
      <c r="CI23" s="195"/>
      <c r="CJ23" s="195"/>
      <c r="CK23" s="196"/>
      <c r="CL23" s="125" t="s">
        <v>514</v>
      </c>
      <c r="CM23" s="22"/>
      <c r="CN23" s="35"/>
      <c r="CO23" s="19"/>
      <c r="CP23" s="194" t="s">
        <v>178</v>
      </c>
      <c r="CQ23" s="195"/>
      <c r="CR23" s="195"/>
      <c r="CS23" s="195"/>
      <c r="CT23" s="196"/>
      <c r="CU23" s="121" t="str">
        <f>CONCATENATE("10.0.",TEXT(((BITWISE_AND('IP Address'!$D$20,CT$19)/4)+7*8),"0"),".",TEXT((BITWISE_AND('IP Address'!$D$21,CT$19)*64)+CP24+41,"0"))</f>
        <v>10.0.59.169</v>
      </c>
      <c r="CV23" s="22"/>
      <c r="CX23" s="19"/>
      <c r="CY23" s="194" t="s">
        <v>178</v>
      </c>
      <c r="CZ23" s="195"/>
      <c r="DA23" s="195"/>
      <c r="DB23" s="195"/>
      <c r="DC23" s="196"/>
      <c r="DD23" s="121" t="str">
        <f>CONCATENATE("10.0.",TEXT(((BITWISE_AND('IP Address'!$D$20,DC$19)/4)+7*8),"0"),".",TEXT((BITWISE_AND('IP Address'!$D$21,DC$19)*64)+CY24+41,"0"))</f>
        <v>10.0.60.41</v>
      </c>
      <c r="DE23" s="22"/>
      <c r="DG23" s="19"/>
      <c r="DH23" s="194" t="s">
        <v>178</v>
      </c>
      <c r="DI23" s="195"/>
      <c r="DJ23" s="195"/>
      <c r="DK23" s="195"/>
      <c r="DL23" s="196"/>
      <c r="DM23" s="121" t="str">
        <f>CONCATENATE("10.0.",TEXT(((BITWISE_AND('IP Address'!$D$20,DL$19)/4)+7*8),"0"),".",TEXT((BITWISE_AND('IP Address'!$D$21,DL$19)*64)+DH24+41,"0"))</f>
        <v>10.0.60.105</v>
      </c>
      <c r="DN23" s="21"/>
      <c r="DO23" s="194" t="s">
        <v>178</v>
      </c>
      <c r="DP23" s="195"/>
      <c r="DQ23" s="195"/>
      <c r="DR23" s="195"/>
      <c r="DS23" s="196"/>
      <c r="DT23" s="121" t="str">
        <f>CONCATENATE("10.0.",TEXT(((BITWISE_AND('IP Address'!$D$20,DL$19)/4)+7*8),"0"),".",TEXT((BITWISE_AND('IP Address'!$D$21,DL$19)*64)+DO24+41,"0"))</f>
        <v>10.0.60.107</v>
      </c>
      <c r="DU23" s="22"/>
    </row>
    <row r="24" spans="2:125" ht="14.45" customHeight="1" thickBot="1">
      <c r="B24" s="19"/>
      <c r="C24" s="44">
        <v>0</v>
      </c>
      <c r="D24" s="37" t="s">
        <v>179</v>
      </c>
      <c r="E24" s="43">
        <v>0</v>
      </c>
      <c r="F24" s="43">
        <v>1</v>
      </c>
      <c r="G24" s="38" t="s">
        <v>180</v>
      </c>
      <c r="H24" s="39" t="str">
        <f>CONCATENATE("10.0.",TEXT(((BITWISE_AND('IP Address'!$D$20,G$19)/4)+F24*8),"0"),".",TEXT((BITWISE_AND('IP Address'!$D$21,G$19)*64)+C$24*10+E24,"0"))</f>
        <v>10.0.8.64</v>
      </c>
      <c r="I24" s="21"/>
      <c r="J24" s="44">
        <v>2</v>
      </c>
      <c r="K24" s="27" t="s">
        <v>179</v>
      </c>
      <c r="L24" s="27">
        <v>0</v>
      </c>
      <c r="M24" s="27">
        <v>1</v>
      </c>
      <c r="N24" s="3" t="s">
        <v>181</v>
      </c>
      <c r="O24" s="39" t="str">
        <f>CONCATENATE("10.0.",TEXT(((BITWISE_AND('IP Address'!$D$20,G$19)/4)+M24*8),"0"),".",TEXT((BITWISE_AND('IP Address'!$D$21,G$19)*64)+J$24*10+L24,"0"))</f>
        <v>10.0.8.84</v>
      </c>
      <c r="P24" s="21"/>
      <c r="Q24" s="50">
        <v>4</v>
      </c>
      <c r="R24" s="37" t="s">
        <v>179</v>
      </c>
      <c r="S24" s="38">
        <v>0</v>
      </c>
      <c r="T24" s="38">
        <v>1</v>
      </c>
      <c r="U24" s="38" t="s">
        <v>182</v>
      </c>
      <c r="V24" s="39" t="str">
        <f>CONCATENATE("10.0.",TEXT(((BITWISE_AND('IP Address'!$D$20,G$19)/4)+T24*8),"0"),".",TEXT((BITWISE_AND('IP Address'!$D$21,G$19)*64)+Q$24*10+S24,"0"))</f>
        <v>10.0.8.104</v>
      </c>
      <c r="W24" s="22"/>
      <c r="X24" s="35"/>
      <c r="Y24" s="19"/>
      <c r="Z24" s="44">
        <v>0</v>
      </c>
      <c r="AA24" s="27" t="s">
        <v>179</v>
      </c>
      <c r="AB24" s="27">
        <v>0</v>
      </c>
      <c r="AC24" s="27">
        <v>2</v>
      </c>
      <c r="AD24" s="34" t="s">
        <v>183</v>
      </c>
      <c r="AE24" s="136" t="str">
        <f>AE42</f>
        <v>10.0.16.74</v>
      </c>
      <c r="AF24" s="19"/>
      <c r="AG24" s="50">
        <v>2</v>
      </c>
      <c r="AH24" s="37" t="s">
        <v>179</v>
      </c>
      <c r="AI24" s="38">
        <v>0</v>
      </c>
      <c r="AJ24" s="38">
        <v>7</v>
      </c>
      <c r="AK24" s="38"/>
      <c r="AL24" s="39" t="str">
        <f>CONCATENATE("10.0.",TEXT(((BITWISE_AND('IP Address'!$D$20,AD$19)/4)+AJ24*8),"0"),".",TEXT((BITWISE_AND('IP Address'!$D$21,AD$19)*64)+AG$24*10+AI24,"0"))</f>
        <v>10.0.56.84</v>
      </c>
      <c r="AM24" s="22"/>
      <c r="AN24" s="35"/>
      <c r="AO24" s="19"/>
      <c r="AP24" s="44">
        <v>0</v>
      </c>
      <c r="AQ24" s="27" t="s">
        <v>179</v>
      </c>
      <c r="AR24" s="27">
        <v>0</v>
      </c>
      <c r="AS24" s="27">
        <v>2</v>
      </c>
      <c r="AT24" s="34" t="s">
        <v>183</v>
      </c>
      <c r="AU24" s="136" t="str">
        <f>AU42</f>
        <v>10.0.16.138</v>
      </c>
      <c r="AV24" s="22"/>
      <c r="AX24" s="19"/>
      <c r="AY24" s="44">
        <v>0</v>
      </c>
      <c r="AZ24" s="27" t="s">
        <v>179</v>
      </c>
      <c r="BA24" s="27">
        <v>0</v>
      </c>
      <c r="BB24" s="27">
        <v>2</v>
      </c>
      <c r="BC24" s="34" t="s">
        <v>183</v>
      </c>
      <c r="BD24" s="136" t="str">
        <f>BD42</f>
        <v>10.0.18.74</v>
      </c>
      <c r="BE24" s="22"/>
      <c r="BG24" s="19"/>
      <c r="BH24" s="44">
        <v>0</v>
      </c>
      <c r="BI24" s="27" t="s">
        <v>179</v>
      </c>
      <c r="BJ24" s="27">
        <v>0</v>
      </c>
      <c r="BK24" s="27">
        <v>2</v>
      </c>
      <c r="BL24" s="34" t="s">
        <v>183</v>
      </c>
      <c r="BM24" s="136" t="str">
        <f>BM42</f>
        <v>10.0.18.202</v>
      </c>
      <c r="BN24" s="22"/>
      <c r="BP24" s="19"/>
      <c r="BQ24" s="44">
        <v>0</v>
      </c>
      <c r="BR24" s="27" t="s">
        <v>179</v>
      </c>
      <c r="BS24" s="27">
        <v>0</v>
      </c>
      <c r="BT24" s="27">
        <v>2</v>
      </c>
      <c r="BU24" s="34" t="s">
        <v>183</v>
      </c>
      <c r="BV24" s="136" t="str">
        <f>BV42</f>
        <v>10.0.19.10</v>
      </c>
      <c r="BW24" s="22"/>
      <c r="BX24" s="35"/>
      <c r="BY24" s="19"/>
      <c r="BZ24" s="44">
        <v>0</v>
      </c>
      <c r="CA24" s="27" t="s">
        <v>179</v>
      </c>
      <c r="CB24" s="27">
        <v>0</v>
      </c>
      <c r="CC24" s="27">
        <v>2</v>
      </c>
      <c r="CD24" s="34" t="s">
        <v>183</v>
      </c>
      <c r="CE24" s="136" t="str">
        <f>CE42</f>
        <v>10.0.19.74</v>
      </c>
      <c r="CF24" s="19"/>
      <c r="CG24" s="44">
        <v>2</v>
      </c>
      <c r="CH24" s="27" t="s">
        <v>179</v>
      </c>
      <c r="CI24" s="27">
        <v>0</v>
      </c>
      <c r="CJ24" s="27">
        <v>4</v>
      </c>
      <c r="CK24" s="34" t="s">
        <v>184</v>
      </c>
      <c r="CL24" s="162" t="s">
        <v>557</v>
      </c>
      <c r="CM24" s="22"/>
      <c r="CN24" s="35"/>
      <c r="CO24" s="19"/>
      <c r="CP24" s="44">
        <v>0</v>
      </c>
      <c r="CQ24" s="27" t="s">
        <v>179</v>
      </c>
      <c r="CR24" s="27">
        <v>0</v>
      </c>
      <c r="CS24" s="27">
        <v>2</v>
      </c>
      <c r="CT24" s="34" t="s">
        <v>183</v>
      </c>
      <c r="CU24" s="136" t="str">
        <f>CU42</f>
        <v>10.0.19.138</v>
      </c>
      <c r="CV24" s="22"/>
      <c r="CX24" s="19"/>
      <c r="CY24" s="44">
        <v>0</v>
      </c>
      <c r="CZ24" s="27" t="s">
        <v>179</v>
      </c>
      <c r="DA24" s="27">
        <v>0</v>
      </c>
      <c r="DB24" s="27">
        <v>2</v>
      </c>
      <c r="DC24" s="34" t="s">
        <v>183</v>
      </c>
      <c r="DD24" s="136" t="str">
        <f>DD42</f>
        <v>10.0.20.10</v>
      </c>
      <c r="DE24" s="22"/>
      <c r="DG24" s="19"/>
      <c r="DH24" s="44">
        <v>0</v>
      </c>
      <c r="DI24" s="27" t="s">
        <v>179</v>
      </c>
      <c r="DJ24" s="27">
        <v>0</v>
      </c>
      <c r="DK24" s="27">
        <v>2</v>
      </c>
      <c r="DL24" s="34" t="s">
        <v>185</v>
      </c>
      <c r="DM24" s="39" t="str">
        <f>CONCATENATE("10.0.",TEXT(((BITWISE_AND('IP Address'!$D$20,DL$19)/4)+DK24*8),"0"),".",TEXT((BITWISE_AND('IP Address'!$D$21,DL$19)*64)+DH$24*10+DJ24,"0"))</f>
        <v>10.0.20.64</v>
      </c>
      <c r="DN24" s="21"/>
      <c r="DO24" s="50">
        <v>2</v>
      </c>
      <c r="DP24" s="37" t="s">
        <v>179</v>
      </c>
      <c r="DQ24" s="38">
        <v>0</v>
      </c>
      <c r="DR24" s="38">
        <v>2</v>
      </c>
      <c r="DS24" s="51" t="s">
        <v>186</v>
      </c>
      <c r="DT24" s="39" t="str">
        <f>CONCATENATE("10.0.",TEXT(((BITWISE_AND('IP Address'!$D$20,DL$19)/4)+DR24*8),"0"),".",TEXT((BITWISE_AND('IP Address'!$D$21,DL$19)*64)+DO$24*10+DQ24,"0"))</f>
        <v>10.0.20.84</v>
      </c>
      <c r="DU24" s="22"/>
    </row>
    <row r="25" spans="2:125" ht="40.15" customHeight="1" thickBot="1">
      <c r="B25" s="19"/>
      <c r="C25" s="191" t="s">
        <v>187</v>
      </c>
      <c r="D25" s="40" t="s">
        <v>188</v>
      </c>
      <c r="E25" s="24">
        <v>1</v>
      </c>
      <c r="F25" s="24">
        <v>1</v>
      </c>
      <c r="G25" s="1" t="s">
        <v>189</v>
      </c>
      <c r="H25" s="154" t="s">
        <v>190</v>
      </c>
      <c r="I25" s="21"/>
      <c r="J25" s="191" t="s">
        <v>191</v>
      </c>
      <c r="K25" s="24" t="s">
        <v>188</v>
      </c>
      <c r="L25" s="24">
        <v>1</v>
      </c>
      <c r="M25" s="24">
        <v>7</v>
      </c>
      <c r="N25" s="1"/>
      <c r="O25" s="8" t="str">
        <f>CONCATENATE("10.0.",TEXT(((BITWISE_AND('IP Address'!$D$20,N$19)/4)+M25*8),"0"),".",TEXT((BITWISE_AND('IP Address'!$D$21,G$19)*64)+J$24*10+L25,"0"))</f>
        <v>10.0.56.85</v>
      </c>
      <c r="P25" s="21"/>
      <c r="Q25" s="200" t="s">
        <v>192</v>
      </c>
      <c r="R25" s="40" t="s">
        <v>188</v>
      </c>
      <c r="S25" s="1">
        <v>1</v>
      </c>
      <c r="T25" s="1">
        <v>7</v>
      </c>
      <c r="U25" s="1" t="s">
        <v>193</v>
      </c>
      <c r="V25" s="9" t="str">
        <f>CONCATENATE("10.0.",TEXT(((BITWISE_AND('IP Address'!$D$20,G$19)/4)+T25*8),"0"),".",TEXT((BITWISE_AND('IP Address'!$D$21,G$19)*64)+Q$24*10+S25,"0"))</f>
        <v>10.0.56.105</v>
      </c>
      <c r="W25" s="22"/>
      <c r="X25" s="35"/>
      <c r="Y25" s="19"/>
      <c r="Z25" s="191" t="s">
        <v>187</v>
      </c>
      <c r="AA25" s="24" t="s">
        <v>188</v>
      </c>
      <c r="AB25" s="24">
        <v>1</v>
      </c>
      <c r="AC25" s="24">
        <v>3</v>
      </c>
      <c r="AD25" s="32" t="s">
        <v>194</v>
      </c>
      <c r="AE25" s="8" t="str">
        <f>CONCATENATE("10.0.",TEXT(((BITWISE_AND('IP Address'!$D$20,AD$19)/4)+AC25*8),"0"),".",TEXT((BITWISE_AND('IP Address'!$D$21,AD$19)*64)+Z$24*10+AB25,"0"))</f>
        <v>10.0.24.65</v>
      </c>
      <c r="AF25" s="19"/>
      <c r="AG25" s="200" t="s">
        <v>191</v>
      </c>
      <c r="AH25" s="40" t="s">
        <v>188</v>
      </c>
      <c r="AI25" s="1">
        <v>1</v>
      </c>
      <c r="AJ25" s="1">
        <v>6</v>
      </c>
      <c r="AK25" s="33" t="s">
        <v>195</v>
      </c>
      <c r="AL25" s="126" t="s">
        <v>196</v>
      </c>
      <c r="AM25" s="22"/>
      <c r="AN25" s="35"/>
      <c r="AO25" s="19"/>
      <c r="AP25" s="191" t="s">
        <v>187</v>
      </c>
      <c r="AQ25" s="24" t="s">
        <v>188</v>
      </c>
      <c r="AR25" s="24">
        <v>1</v>
      </c>
      <c r="AS25" s="24">
        <v>3</v>
      </c>
      <c r="AT25" s="32" t="s">
        <v>194</v>
      </c>
      <c r="AU25" s="8" t="str">
        <f>CONCATENATE("10.0.",TEXT(((BITWISE_AND('IP Address'!$D$20,AT$19)/4)+AS25*8),"0"),".",TEXT((BITWISE_AND('IP Address'!$D$21,AT$19)*64)+AP$24*10+AR25,"0"))</f>
        <v>10.0.24.129</v>
      </c>
      <c r="AV25" s="22"/>
      <c r="AX25" s="19"/>
      <c r="AY25" s="191" t="s">
        <v>187</v>
      </c>
      <c r="AZ25" s="24" t="s">
        <v>188</v>
      </c>
      <c r="BA25" s="24">
        <v>1</v>
      </c>
      <c r="BB25" s="24">
        <v>3</v>
      </c>
      <c r="BC25" s="32" t="s">
        <v>194</v>
      </c>
      <c r="BD25" s="8" t="str">
        <f>CONCATENATE("10.0.",TEXT(((BITWISE_AND('IP Address'!$D$20,BC$19)/4)+BB25*8),"0"),".",TEXT((BITWISE_AND('IP Address'!$D$21,BC$19)*64)+AY$24*10+BA25,"0"))</f>
        <v>10.0.26.65</v>
      </c>
      <c r="BE25" s="22"/>
      <c r="BG25" s="19"/>
      <c r="BH25" s="191" t="s">
        <v>187</v>
      </c>
      <c r="BI25" s="24" t="s">
        <v>188</v>
      </c>
      <c r="BJ25" s="24">
        <v>1</v>
      </c>
      <c r="BK25" s="24">
        <v>7</v>
      </c>
      <c r="BL25" s="31"/>
      <c r="BM25" s="8" t="str">
        <f>CONCATENATE("10.0.",TEXT(((BITWISE_AND('IP Address'!$D$20,BL$19)/4)+BK25*8),"0"),".",TEXT((BITWISE_AND('IP Address'!$D$21,BL$19)*64)+BH$24*10+BJ25,"0"))</f>
        <v>10.0.58.193</v>
      </c>
      <c r="BN25" s="22"/>
      <c r="BP25" s="19"/>
      <c r="BQ25" s="191" t="s">
        <v>187</v>
      </c>
      <c r="BR25" s="24" t="s">
        <v>188</v>
      </c>
      <c r="BS25" s="24">
        <v>1</v>
      </c>
      <c r="BT25" s="24">
        <v>3</v>
      </c>
      <c r="BU25" s="32" t="s">
        <v>194</v>
      </c>
      <c r="BV25" s="8" t="str">
        <f>CONCATENATE("10.0.",TEXT(((BITWISE_AND('IP Address'!$D$20,BU$19)/4)+BT25*8),"0"),".",TEXT((BITWISE_AND('IP Address'!$D$21,BU$19)*64)+BQ$24*10+BS25,"0"))</f>
        <v>10.0.27.1</v>
      </c>
      <c r="BW25" s="22"/>
      <c r="BX25" s="35"/>
      <c r="BY25" s="19"/>
      <c r="BZ25" s="191" t="s">
        <v>187</v>
      </c>
      <c r="CA25" s="24" t="s">
        <v>188</v>
      </c>
      <c r="CB25" s="24">
        <v>1</v>
      </c>
      <c r="CC25" s="24">
        <v>3</v>
      </c>
      <c r="CD25" s="32" t="s">
        <v>194</v>
      </c>
      <c r="CE25" s="8" t="str">
        <f>CONCATENATE("10.0.",TEXT(((BITWISE_AND('IP Address'!$D$20,CD$19)/4)+CC25*8),"0"),".",TEXT((BITWISE_AND('IP Address'!$D$21,CD$19)*64)+BZ$24*10+CB25,"0"))</f>
        <v>10.0.27.65</v>
      </c>
      <c r="CF25" s="19"/>
      <c r="CG25" s="192" t="s">
        <v>197</v>
      </c>
      <c r="CH25" s="24" t="s">
        <v>188</v>
      </c>
      <c r="CI25" s="24">
        <v>1</v>
      </c>
      <c r="CJ25" s="24">
        <v>1</v>
      </c>
      <c r="CK25" s="32" t="s">
        <v>198</v>
      </c>
      <c r="CL25" s="8" t="str">
        <f>CONCATENATE("10.0.",TEXT(((BITWISE_AND('IP Address'!$D$20,CD$19)/4)+CJ25*8),"0"),".",TEXT((BITWISE_AND('IP Address'!$D$21,CD$19)*64)+CG$24*10+CI25,"0"))</f>
        <v>10.0.11.85</v>
      </c>
      <c r="CM25" s="22"/>
      <c r="CN25" s="35"/>
      <c r="CO25" s="19"/>
      <c r="CP25" s="191" t="s">
        <v>187</v>
      </c>
      <c r="CQ25" s="24" t="s">
        <v>188</v>
      </c>
      <c r="CR25" s="24">
        <v>1</v>
      </c>
      <c r="CS25" s="24">
        <v>3</v>
      </c>
      <c r="CT25" s="32" t="s">
        <v>194</v>
      </c>
      <c r="CU25" s="8" t="str">
        <f>CONCATENATE("10.0.",TEXT(((BITWISE_AND('IP Address'!$D$20,CT$19)/4)+CS25*8),"0"),".",TEXT((BITWISE_AND('IP Address'!$D$21,CT$19)*64)+CP$24*10+CR25,"0"))</f>
        <v>10.0.27.129</v>
      </c>
      <c r="CV25" s="22"/>
      <c r="CX25" s="19"/>
      <c r="CY25" s="191" t="s">
        <v>187</v>
      </c>
      <c r="CZ25" s="24" t="s">
        <v>188</v>
      </c>
      <c r="DA25" s="24">
        <v>1</v>
      </c>
      <c r="DB25" s="24">
        <v>3</v>
      </c>
      <c r="DC25" s="32" t="s">
        <v>194</v>
      </c>
      <c r="DD25" s="8" t="str">
        <f>CONCATENATE("10.0.",TEXT(((BITWISE_AND('IP Address'!$D$20,DC$19)/4)+DB25*8),"0"),".",TEXT((BITWISE_AND('IP Address'!$D$21,DC$19)*64)+CY$24*10+DA25,"0"))</f>
        <v>10.0.28.1</v>
      </c>
      <c r="DE25" s="22"/>
      <c r="DG25" s="19"/>
      <c r="DH25" s="191" t="s">
        <v>187</v>
      </c>
      <c r="DI25" s="24" t="s">
        <v>188</v>
      </c>
      <c r="DJ25" s="24">
        <v>1</v>
      </c>
      <c r="DK25" s="24">
        <v>1</v>
      </c>
      <c r="DL25" s="34" t="s">
        <v>199</v>
      </c>
      <c r="DM25" s="8" t="str">
        <f>CONCATENATE("10.0.",TEXT(((BITWISE_AND('IP Address'!$D$20,DL$19)/4)+DK25*8),"0"),".",TEXT((BITWISE_AND('IP Address'!$D$21,DL$19)*64)+DH$24*10+DJ25,"0"))</f>
        <v>10.0.12.65</v>
      </c>
      <c r="DN25" s="21"/>
      <c r="DO25" s="191" t="s">
        <v>191</v>
      </c>
      <c r="DP25" s="40" t="s">
        <v>188</v>
      </c>
      <c r="DQ25" s="1">
        <v>1</v>
      </c>
      <c r="DR25" s="1">
        <v>1</v>
      </c>
      <c r="DS25" s="32" t="s">
        <v>200</v>
      </c>
      <c r="DT25" s="9" t="str">
        <f>CONCATENATE("10.0.",TEXT(((BITWISE_AND('IP Address'!$D$20,DL$19)/4)+DR25*8),"0"),".",TEXT((BITWISE_AND('IP Address'!$D$21,DL$19)*64)+DO$24*10+DQ25,"0"))</f>
        <v>10.0.12.85</v>
      </c>
      <c r="DU25" s="22"/>
    </row>
    <row r="26" spans="2:125">
      <c r="B26" s="19"/>
      <c r="C26" s="192"/>
      <c r="D26" s="40" t="s">
        <v>201</v>
      </c>
      <c r="E26" s="24">
        <v>2</v>
      </c>
      <c r="F26" s="25">
        <v>0</v>
      </c>
      <c r="G26" s="33" t="s">
        <v>202</v>
      </c>
      <c r="H26" s="125" t="s">
        <v>203</v>
      </c>
      <c r="I26" s="21"/>
      <c r="J26" s="192"/>
      <c r="K26" s="24" t="s">
        <v>201</v>
      </c>
      <c r="L26" s="24">
        <v>2</v>
      </c>
      <c r="M26" s="24">
        <v>1</v>
      </c>
      <c r="N26" s="1" t="s">
        <v>204</v>
      </c>
      <c r="O26" s="8" t="str">
        <f>CONCATENATE("10.0.",TEXT(((BITWISE_AND('IP Address'!$D$20,N$19)/4)+M26*8),"0"),".",TEXT((BITWISE_AND('IP Address'!$D$21,G$19)*64)+J$24*10+L26,"0"))</f>
        <v>10.0.8.86</v>
      </c>
      <c r="P26" s="21"/>
      <c r="Q26" s="200"/>
      <c r="R26" s="40" t="s">
        <v>201</v>
      </c>
      <c r="S26" s="1">
        <v>2</v>
      </c>
      <c r="T26" s="1">
        <v>7</v>
      </c>
      <c r="U26" s="31" t="s">
        <v>205</v>
      </c>
      <c r="V26" s="9" t="str">
        <f>CONCATENATE("10.0.",TEXT(((BITWISE_AND('IP Address'!$D$20,G$19)/4)+T26*8),"0"),".",TEXT((BITWISE_AND('IP Address'!$D$21,G$19)*64)+Q$24*10+S26,"0"))</f>
        <v>10.0.56.106</v>
      </c>
      <c r="W26" s="22"/>
      <c r="X26" s="35"/>
      <c r="Y26" s="19"/>
      <c r="Z26" s="192"/>
      <c r="AA26" s="24" t="s">
        <v>201</v>
      </c>
      <c r="AB26" s="24">
        <v>2</v>
      </c>
      <c r="AC26" s="24">
        <v>3</v>
      </c>
      <c r="AD26" s="32" t="s">
        <v>206</v>
      </c>
      <c r="AE26" s="8" t="str">
        <f>CONCATENATE("10.0.",TEXT(((BITWISE_AND('IP Address'!$D$20,AD$19)/4)+AC26*8),"0"),".",TEXT((BITWISE_AND('IP Address'!$D$21,AD$19)*64)+Z$24*10+AB26,"0"))</f>
        <v>10.0.24.66</v>
      </c>
      <c r="AF26" s="19"/>
      <c r="AG26" s="200"/>
      <c r="AH26" s="40" t="s">
        <v>201</v>
      </c>
      <c r="AI26" s="1">
        <v>2</v>
      </c>
      <c r="AJ26" s="1">
        <v>7</v>
      </c>
      <c r="AK26" s="32" t="s">
        <v>207</v>
      </c>
      <c r="AL26" s="9" t="str">
        <f>CONCATENATE("10.0.",TEXT(((BITWISE_AND('IP Address'!$D$20,AD$19)/4)+AJ26*8),"0"),".",TEXT((BITWISE_AND('IP Address'!$D$21,AD$19)*64)+AG$24*10+AI26,"0"))</f>
        <v>10.0.56.86</v>
      </c>
      <c r="AM26" s="22"/>
      <c r="AN26" s="35"/>
      <c r="AO26" s="19"/>
      <c r="AP26" s="192"/>
      <c r="AQ26" s="24" t="s">
        <v>201</v>
      </c>
      <c r="AR26" s="24">
        <v>2</v>
      </c>
      <c r="AS26" s="24">
        <v>3</v>
      </c>
      <c r="AT26" s="32" t="s">
        <v>206</v>
      </c>
      <c r="AU26" s="8" t="str">
        <f>CONCATENATE("10.0.",TEXT(((BITWISE_AND('IP Address'!$D$20,AT$19)/4)+AS26*8),"0"),".",TEXT((BITWISE_AND('IP Address'!$D$21,AT$19)*64)+AP$24*10+AR26,"0"))</f>
        <v>10.0.24.130</v>
      </c>
      <c r="AV26" s="22"/>
      <c r="AX26" s="19"/>
      <c r="AY26" s="192"/>
      <c r="AZ26" s="24" t="s">
        <v>201</v>
      </c>
      <c r="BA26" s="24">
        <v>2</v>
      </c>
      <c r="BB26" s="24">
        <v>3</v>
      </c>
      <c r="BC26" s="32" t="s">
        <v>206</v>
      </c>
      <c r="BD26" s="8" t="str">
        <f>CONCATENATE("10.0.",TEXT(((BITWISE_AND('IP Address'!$D$20,BC$19)/4)+BB26*8),"0"),".",TEXT((BITWISE_AND('IP Address'!$D$21,BC$19)*64)+AY$24*10+BA26,"0"))</f>
        <v>10.0.26.66</v>
      </c>
      <c r="BE26" s="22"/>
      <c r="BG26" s="19"/>
      <c r="BH26" s="192"/>
      <c r="BI26" s="24" t="s">
        <v>201</v>
      </c>
      <c r="BJ26" s="24">
        <v>2</v>
      </c>
      <c r="BK26" s="24">
        <v>3</v>
      </c>
      <c r="BL26" s="32" t="s">
        <v>206</v>
      </c>
      <c r="BM26" s="8" t="str">
        <f>CONCATENATE("10.0.",TEXT(((BITWISE_AND('IP Address'!$D$20,BL$19)/4)+BK26*8),"0"),".",TEXT((BITWISE_AND('IP Address'!$D$21,BL$19)*64)+BH$24*10+BJ26,"0"))</f>
        <v>10.0.26.194</v>
      </c>
      <c r="BN26" s="22"/>
      <c r="BP26" s="19"/>
      <c r="BQ26" s="192"/>
      <c r="BR26" s="24" t="s">
        <v>201</v>
      </c>
      <c r="BS26" s="24">
        <v>2</v>
      </c>
      <c r="BT26" s="24">
        <v>3</v>
      </c>
      <c r="BU26" s="32" t="s">
        <v>206</v>
      </c>
      <c r="BV26" s="8" t="str">
        <f>CONCATENATE("10.0.",TEXT(((BITWISE_AND('IP Address'!$D$20,BU$19)/4)+BT26*8),"0"),".",TEXT((BITWISE_AND('IP Address'!$D$21,BU$19)*64)+BQ$24*10+BS26,"0"))</f>
        <v>10.0.27.2</v>
      </c>
      <c r="BW26" s="22"/>
      <c r="BX26" s="35"/>
      <c r="BY26" s="19"/>
      <c r="BZ26" s="192"/>
      <c r="CA26" s="24" t="s">
        <v>201</v>
      </c>
      <c r="CB26" s="24">
        <v>2</v>
      </c>
      <c r="CC26" s="24">
        <v>3</v>
      </c>
      <c r="CD26" s="32" t="s">
        <v>206</v>
      </c>
      <c r="CE26" s="8" t="str">
        <f>CONCATENATE("10.0.",TEXT(((BITWISE_AND('IP Address'!$D$20,CD$19)/4)+CC26*8),"0"),".",TEXT((BITWISE_AND('IP Address'!$D$21,CD$19)*64)+BZ$24*10+CB26,"0"))</f>
        <v>10.0.27.66</v>
      </c>
      <c r="CF26" s="19"/>
      <c r="CG26" s="192"/>
      <c r="CH26" s="24" t="s">
        <v>201</v>
      </c>
      <c r="CI26" s="24">
        <v>2</v>
      </c>
      <c r="CJ26" s="24">
        <v>5</v>
      </c>
      <c r="CK26" s="32" t="s">
        <v>208</v>
      </c>
      <c r="CL26" s="8" t="str">
        <f>CONCATENATE("10.0.",TEXT(((BITWISE_AND('IP Address'!$D$20,CD$19)/4)+CJ26*8),"0"),".",TEXT((BITWISE_AND('IP Address'!$D$21,CD$19)*64)+CG$24*10+CI26,"0"))</f>
        <v>10.0.43.86</v>
      </c>
      <c r="CM26" s="22"/>
      <c r="CN26" s="35"/>
      <c r="CO26" s="19"/>
      <c r="CP26" s="192"/>
      <c r="CQ26" s="24" t="s">
        <v>201</v>
      </c>
      <c r="CR26" s="24">
        <v>2</v>
      </c>
      <c r="CS26" s="24">
        <v>3</v>
      </c>
      <c r="CT26" s="32" t="s">
        <v>206</v>
      </c>
      <c r="CU26" s="8" t="str">
        <f>CONCATENATE("10.0.",TEXT(((BITWISE_AND('IP Address'!$D$20,CT$19)/4)+CS26*8),"0"),".",TEXT((BITWISE_AND('IP Address'!$D$21,CT$19)*64)+CP$24*10+CR26,"0"))</f>
        <v>10.0.27.130</v>
      </c>
      <c r="CV26" s="22"/>
      <c r="CX26" s="19"/>
      <c r="CY26" s="192"/>
      <c r="CZ26" s="24" t="s">
        <v>201</v>
      </c>
      <c r="DA26" s="24">
        <v>2</v>
      </c>
      <c r="DB26" s="24">
        <v>3</v>
      </c>
      <c r="DC26" s="32" t="s">
        <v>206</v>
      </c>
      <c r="DD26" s="8" t="str">
        <f>CONCATENATE("10.0.",TEXT(((BITWISE_AND('IP Address'!$D$20,DC$19)/4)+DB26*8),"0"),".",TEXT((BITWISE_AND('IP Address'!$D$21,DC$19)*64)+CY$24*10+DA26,"0"))</f>
        <v>10.0.28.2</v>
      </c>
      <c r="DE26" s="22"/>
      <c r="DG26" s="19"/>
      <c r="DH26" s="192"/>
      <c r="DI26" s="24" t="s">
        <v>201</v>
      </c>
      <c r="DJ26" s="24">
        <v>2</v>
      </c>
      <c r="DK26" s="24">
        <v>3</v>
      </c>
      <c r="DL26" s="32" t="s">
        <v>209</v>
      </c>
      <c r="DM26" s="8" t="str">
        <f>CONCATENATE("10.0.",TEXT(((BITWISE_AND('IP Address'!$D$20,DL$19)/4)+DK26*8),"0"),".",TEXT((BITWISE_AND('IP Address'!$D$21,DL$19)*64)+DH$24*10+DJ26,"0"))</f>
        <v>10.0.28.66</v>
      </c>
      <c r="DN26" s="21"/>
      <c r="DO26" s="192"/>
      <c r="DP26" s="40" t="s">
        <v>201</v>
      </c>
      <c r="DQ26" s="1">
        <v>2</v>
      </c>
      <c r="DR26" s="1">
        <v>2</v>
      </c>
      <c r="DS26" s="32" t="s">
        <v>183</v>
      </c>
      <c r="DT26" s="136" t="str">
        <f>DT44</f>
        <v>10.0.20.96</v>
      </c>
      <c r="DU26" s="22"/>
    </row>
    <row r="27" spans="2:125">
      <c r="B27" s="19"/>
      <c r="C27" s="192"/>
      <c r="D27" s="40" t="s">
        <v>210</v>
      </c>
      <c r="E27" s="24">
        <v>3</v>
      </c>
      <c r="F27" s="24">
        <v>2</v>
      </c>
      <c r="G27" s="33" t="s">
        <v>185</v>
      </c>
      <c r="H27" s="8" t="str">
        <f>CONCATENATE("10.0.",TEXT(((BITWISE_AND('IP Address'!$D$20,G$19)/4)+F27*8),"0"),".",TEXT((BITWISE_AND('IP Address'!$D$21,G$19)*64)+C$24*10+E27,"0"))</f>
        <v>10.0.16.67</v>
      </c>
      <c r="I27" s="21"/>
      <c r="J27" s="192"/>
      <c r="K27" s="24" t="s">
        <v>210</v>
      </c>
      <c r="L27" s="24">
        <v>3</v>
      </c>
      <c r="M27" s="24">
        <v>1</v>
      </c>
      <c r="N27" s="1" t="s">
        <v>211</v>
      </c>
      <c r="O27" s="8" t="str">
        <f>CONCATENATE("10.0.",TEXT(((BITWISE_AND('IP Address'!$D$20,N$19)/4)+M27*8),"0"),".",TEXT((BITWISE_AND('IP Address'!$D$21,G$19)*64)+J$24*10+L27,"0"))</f>
        <v>10.0.8.87</v>
      </c>
      <c r="P27" s="21"/>
      <c r="Q27" s="200"/>
      <c r="R27" s="40" t="s">
        <v>210</v>
      </c>
      <c r="S27" s="1">
        <v>3</v>
      </c>
      <c r="T27" s="1">
        <v>7</v>
      </c>
      <c r="U27" s="33"/>
      <c r="V27" s="9" t="str">
        <f>CONCATENATE("10.0.",TEXT(((BITWISE_AND('IP Address'!$D$20,G$19)/4)+T27*8),"0"),".",TEXT((BITWISE_AND('IP Address'!$D$21,G$19)*64)+Q$24*10+S27,"0"))</f>
        <v>10.0.56.107</v>
      </c>
      <c r="W27" s="22"/>
      <c r="X27" s="35"/>
      <c r="Y27" s="19"/>
      <c r="Z27" s="192"/>
      <c r="AA27" s="24" t="s">
        <v>210</v>
      </c>
      <c r="AB27" s="24">
        <v>3</v>
      </c>
      <c r="AC27" s="24">
        <v>5</v>
      </c>
      <c r="AD27" s="32" t="s">
        <v>212</v>
      </c>
      <c r="AE27" s="8" t="str">
        <f>CONCATENATE("10.0.",TEXT(((BITWISE_AND('IP Address'!$D$20,AD$19)/4)+AC27*8),"0"),".",TEXT((BITWISE_AND('IP Address'!$D$21,AD$19)*64)+Z$24*10+AB27,"0"))</f>
        <v>10.0.40.67</v>
      </c>
      <c r="AF27" s="19"/>
      <c r="AG27" s="200"/>
      <c r="AH27" s="40" t="s">
        <v>210</v>
      </c>
      <c r="AI27" s="1">
        <v>3</v>
      </c>
      <c r="AJ27" s="1">
        <v>3</v>
      </c>
      <c r="AK27" s="33" t="s">
        <v>213</v>
      </c>
      <c r="AL27" s="9" t="str">
        <f>CONCATENATE("10.0.",TEXT(((BITWISE_AND('IP Address'!$D$20,AD$19)/4)+AJ27*8),"0"),".",TEXT((BITWISE_AND('IP Address'!$D$21,AD$19)*64)+AG$24*10+AI27,"0"))</f>
        <v>10.0.24.87</v>
      </c>
      <c r="AM27" s="22"/>
      <c r="AN27" s="35"/>
      <c r="AO27" s="19"/>
      <c r="AP27" s="192"/>
      <c r="AQ27" s="24" t="s">
        <v>210</v>
      </c>
      <c r="AR27" s="24">
        <v>3</v>
      </c>
      <c r="AS27" s="24">
        <v>5</v>
      </c>
      <c r="AT27" s="32" t="s">
        <v>212</v>
      </c>
      <c r="AU27" s="8" t="str">
        <f>CONCATENATE("10.0.",TEXT(((BITWISE_AND('IP Address'!$D$20,AT$19)/4)+AS27*8),"0"),".",TEXT((BITWISE_AND('IP Address'!$D$21,AT$19)*64)+AP$24*10+AR27,"0"))</f>
        <v>10.0.40.131</v>
      </c>
      <c r="AV27" s="22"/>
      <c r="AX27" s="19"/>
      <c r="AY27" s="192"/>
      <c r="AZ27" s="24" t="s">
        <v>210</v>
      </c>
      <c r="BA27" s="24">
        <v>3</v>
      </c>
      <c r="BB27" s="24">
        <v>5</v>
      </c>
      <c r="BC27" s="32" t="s">
        <v>212</v>
      </c>
      <c r="BD27" s="8" t="str">
        <f>CONCATENATE("10.0.",TEXT(((BITWISE_AND('IP Address'!$D$20,BC$19)/4)+BB27*8),"0"),".",TEXT((BITWISE_AND('IP Address'!$D$21,BC$19)*64)+AY$24*10+BA27,"0"))</f>
        <v>10.0.42.67</v>
      </c>
      <c r="BE27" s="22"/>
      <c r="BG27" s="19"/>
      <c r="BH27" s="192"/>
      <c r="BI27" s="24" t="s">
        <v>210</v>
      </c>
      <c r="BJ27" s="24">
        <v>3</v>
      </c>
      <c r="BK27" s="24">
        <v>5</v>
      </c>
      <c r="BL27" s="32" t="s">
        <v>212</v>
      </c>
      <c r="BM27" s="8" t="str">
        <f>CONCATENATE("10.0.",TEXT(((BITWISE_AND('IP Address'!$D$20,BL$19)/4)+BK27*8),"0"),".",TEXT((BITWISE_AND('IP Address'!$D$21,BL$19)*64)+BH$24*10+BJ27,"0"))</f>
        <v>10.0.42.195</v>
      </c>
      <c r="BN27" s="22"/>
      <c r="BP27" s="19"/>
      <c r="BQ27" s="192"/>
      <c r="BR27" s="24" t="s">
        <v>210</v>
      </c>
      <c r="BS27" s="24">
        <v>3</v>
      </c>
      <c r="BT27" s="24">
        <v>5</v>
      </c>
      <c r="BU27" s="32" t="s">
        <v>212</v>
      </c>
      <c r="BV27" s="8" t="str">
        <f>CONCATENATE("10.0.",TEXT(((BITWISE_AND('IP Address'!$D$20,BU$19)/4)+BT27*8),"0"),".",TEXT((BITWISE_AND('IP Address'!$D$21,BU$19)*64)+BQ$24*10+BS27,"0"))</f>
        <v>10.0.43.3</v>
      </c>
      <c r="BW27" s="22"/>
      <c r="BX27" s="35"/>
      <c r="BY27" s="19"/>
      <c r="BZ27" s="192"/>
      <c r="CA27" s="24" t="s">
        <v>210</v>
      </c>
      <c r="CB27" s="24">
        <v>3</v>
      </c>
      <c r="CC27" s="24">
        <v>5</v>
      </c>
      <c r="CD27" s="32" t="s">
        <v>212</v>
      </c>
      <c r="CE27" s="8" t="str">
        <f>CONCATENATE("10.0.",TEXT(((BITWISE_AND('IP Address'!$D$20,CD$19)/4)+CC27*8),"0"),".",TEXT((BITWISE_AND('IP Address'!$D$21,CD$19)*64)+BZ$24*10+CB27,"0"))</f>
        <v>10.0.43.67</v>
      </c>
      <c r="CF27" s="19"/>
      <c r="CG27" s="192"/>
      <c r="CH27" s="24" t="s">
        <v>210</v>
      </c>
      <c r="CI27" s="24">
        <v>3</v>
      </c>
      <c r="CJ27" s="24">
        <v>5</v>
      </c>
      <c r="CK27" s="32" t="s">
        <v>214</v>
      </c>
      <c r="CL27" s="8" t="str">
        <f>CONCATENATE("10.0.",TEXT(((BITWISE_AND('IP Address'!$D$20,CD$19)/4)+CJ27*8),"0"),".",TEXT((BITWISE_AND('IP Address'!$D$21,CD$19)*64)+CG$24*10+CI27,"0"))</f>
        <v>10.0.43.87</v>
      </c>
      <c r="CM27" s="22"/>
      <c r="CN27" s="35"/>
      <c r="CO27" s="19"/>
      <c r="CP27" s="192"/>
      <c r="CQ27" s="24" t="s">
        <v>210</v>
      </c>
      <c r="CR27" s="24">
        <v>3</v>
      </c>
      <c r="CS27" s="24">
        <v>5</v>
      </c>
      <c r="CT27" s="32" t="s">
        <v>212</v>
      </c>
      <c r="CU27" s="8" t="str">
        <f>CONCATENATE("10.0.",TEXT(((BITWISE_AND('IP Address'!$D$20,CT$19)/4)+CS27*8),"0"),".",TEXT((BITWISE_AND('IP Address'!$D$21,CT$19)*64)+CP$24*10+CR27,"0"))</f>
        <v>10.0.43.131</v>
      </c>
      <c r="CV27" s="22"/>
      <c r="CX27" s="19"/>
      <c r="CY27" s="192"/>
      <c r="CZ27" s="24" t="s">
        <v>210</v>
      </c>
      <c r="DA27" s="24">
        <v>3</v>
      </c>
      <c r="DB27" s="24">
        <v>5</v>
      </c>
      <c r="DC27" s="32" t="s">
        <v>212</v>
      </c>
      <c r="DD27" s="8" t="str">
        <f>CONCATENATE("10.0.",TEXT(((BITWISE_AND('IP Address'!$D$20,DC$19)/4)+DB27*8),"0"),".",TEXT((BITWISE_AND('IP Address'!$D$21,DC$19)*64)+CY$24*10+DA27,"0"))</f>
        <v>10.0.44.3</v>
      </c>
      <c r="DE27" s="22"/>
      <c r="DG27" s="19"/>
      <c r="DH27" s="192"/>
      <c r="DI27" s="24" t="s">
        <v>210</v>
      </c>
      <c r="DJ27" s="24">
        <v>3</v>
      </c>
      <c r="DK27" s="24">
        <v>5</v>
      </c>
      <c r="DL27" s="32" t="s">
        <v>212</v>
      </c>
      <c r="DM27" s="8" t="str">
        <f>CONCATENATE("10.0.",TEXT(((BITWISE_AND('IP Address'!$D$20,DL$19)/4)+DK27*8),"0"),".",TEXT((BITWISE_AND('IP Address'!$D$21,DL$19)*64)+DH$24*10+DJ27,"0"))</f>
        <v>10.0.44.67</v>
      </c>
      <c r="DN27" s="21"/>
      <c r="DO27" s="192"/>
      <c r="DP27" s="40" t="s">
        <v>210</v>
      </c>
      <c r="DQ27" s="1">
        <v>3</v>
      </c>
      <c r="DR27" s="1">
        <v>7</v>
      </c>
      <c r="DS27" s="32"/>
      <c r="DT27" s="9" t="str">
        <f>CONCATENATE("10.0.",TEXT(((BITWISE_AND('IP Address'!$D$20,DL$19)/4)+DR27*8),"0"),".",TEXT((BITWISE_AND('IP Address'!$D$21,DL$19)*64)+DO$24*10+DQ27,"0"))</f>
        <v>10.0.60.87</v>
      </c>
      <c r="DU27" s="22"/>
    </row>
    <row r="28" spans="2:125">
      <c r="B28" s="19"/>
      <c r="C28" s="192"/>
      <c r="D28" s="40" t="s">
        <v>215</v>
      </c>
      <c r="E28" s="24">
        <v>4</v>
      </c>
      <c r="F28" s="24">
        <v>2</v>
      </c>
      <c r="G28" s="33" t="s">
        <v>186</v>
      </c>
      <c r="H28" s="8" t="str">
        <f>CONCATENATE("10.0.",TEXT(((BITWISE_AND('IP Address'!$D$20,G$19)/4)+F28*8),"0"),".",TEXT((BITWISE_AND('IP Address'!$D$21,G$19)*64)+C$24*10+E28,"0"))</f>
        <v>10.0.16.68</v>
      </c>
      <c r="I28" s="21"/>
      <c r="J28" s="192"/>
      <c r="K28" s="24" t="s">
        <v>215</v>
      </c>
      <c r="L28" s="24">
        <v>4</v>
      </c>
      <c r="M28" s="24">
        <v>1</v>
      </c>
      <c r="N28" s="1" t="s">
        <v>216</v>
      </c>
      <c r="O28" s="8" t="str">
        <f>CONCATENATE("10.0.",TEXT(((BITWISE_AND('IP Address'!$D$20,N$19)/4)+M28*8),"0"),".",TEXT((BITWISE_AND('IP Address'!$D$21,G$19)*64)+J$24*10+L28,"0"))</f>
        <v>10.0.8.88</v>
      </c>
      <c r="P28" s="21"/>
      <c r="Q28" s="200"/>
      <c r="R28" s="40" t="s">
        <v>215</v>
      </c>
      <c r="S28" s="1">
        <v>4</v>
      </c>
      <c r="T28" s="1">
        <v>3</v>
      </c>
      <c r="U28" s="33" t="s">
        <v>217</v>
      </c>
      <c r="V28" s="9" t="str">
        <f>CONCATENATE("10.0.",TEXT(((BITWISE_AND('IP Address'!$D$20,G$19)/4)+T28*8),"0"),".",TEXT((BITWISE_AND('IP Address'!$D$21,G$19)*64)+Q$24*10+S28,"0"))</f>
        <v>10.0.24.108</v>
      </c>
      <c r="W28" s="22"/>
      <c r="X28" s="35"/>
      <c r="Y28" s="19"/>
      <c r="Z28" s="192"/>
      <c r="AA28" s="24" t="s">
        <v>215</v>
      </c>
      <c r="AB28" s="24">
        <v>4</v>
      </c>
      <c r="AC28" s="24">
        <v>5</v>
      </c>
      <c r="AD28" s="32" t="s">
        <v>218</v>
      </c>
      <c r="AE28" s="8" t="str">
        <f>CONCATENATE("10.0.",TEXT(((BITWISE_AND('IP Address'!$D$20,AD$19)/4)+AC28*8),"0"),".",TEXT((BITWISE_AND('IP Address'!$D$21,AD$19)*64)+Z$24*10+AB28,"0"))</f>
        <v>10.0.40.68</v>
      </c>
      <c r="AF28" s="19"/>
      <c r="AG28" s="200"/>
      <c r="AH28" s="40" t="s">
        <v>215</v>
      </c>
      <c r="AI28" s="1">
        <v>4</v>
      </c>
      <c r="AJ28" s="1">
        <v>7</v>
      </c>
      <c r="AL28" s="9" t="str">
        <f>CONCATENATE("10.0.",TEXT(((BITWISE_AND('IP Address'!$D$20,AD$19)/4)+AJ28*8),"0"),".",TEXT((BITWISE_AND('IP Address'!$D$21,AD$19)*64)+AG$24*10+AI28,"0"))</f>
        <v>10.0.56.88</v>
      </c>
      <c r="AM28" s="22"/>
      <c r="AN28" s="35"/>
      <c r="AO28" s="19"/>
      <c r="AP28" s="192"/>
      <c r="AQ28" s="24" t="s">
        <v>215</v>
      </c>
      <c r="AR28" s="24">
        <v>4</v>
      </c>
      <c r="AS28" s="24">
        <v>5</v>
      </c>
      <c r="AT28" s="32" t="s">
        <v>218</v>
      </c>
      <c r="AU28" s="8" t="str">
        <f>CONCATENATE("10.0.",TEXT(((BITWISE_AND('IP Address'!$D$20,AT$19)/4)+AS28*8),"0"),".",TEXT((BITWISE_AND('IP Address'!$D$21,AT$19)*64)+AP$24*10+AR28,"0"))</f>
        <v>10.0.40.132</v>
      </c>
      <c r="AV28" s="22"/>
      <c r="AX28" s="19"/>
      <c r="AY28" s="192"/>
      <c r="AZ28" s="24" t="s">
        <v>215</v>
      </c>
      <c r="BA28" s="24">
        <v>4</v>
      </c>
      <c r="BB28" s="24">
        <v>5</v>
      </c>
      <c r="BC28" s="32" t="s">
        <v>218</v>
      </c>
      <c r="BD28" s="8" t="str">
        <f>CONCATENATE("10.0.",TEXT(((BITWISE_AND('IP Address'!$D$20,BC$19)/4)+BB28*8),"0"),".",TEXT((BITWISE_AND('IP Address'!$D$21,BC$19)*64)+AY$24*10+BA28,"0"))</f>
        <v>10.0.42.68</v>
      </c>
      <c r="BE28" s="22"/>
      <c r="BG28" s="19"/>
      <c r="BH28" s="192"/>
      <c r="BI28" s="24" t="s">
        <v>215</v>
      </c>
      <c r="BJ28" s="24">
        <v>4</v>
      </c>
      <c r="BK28" s="24">
        <v>7</v>
      </c>
      <c r="BL28" s="32"/>
      <c r="BM28" s="8" t="str">
        <f>CONCATENATE("10.0.",TEXT(((BITWISE_AND('IP Address'!$D$20,BL$19)/4)+BK28*8),"0"),".",TEXT((BITWISE_AND('IP Address'!$D$21,BL$19)*64)+BH$24*10+BJ28,"0"))</f>
        <v>10.0.58.196</v>
      </c>
      <c r="BN28" s="22"/>
      <c r="BP28" s="19"/>
      <c r="BQ28" s="192"/>
      <c r="BR28" s="24" t="s">
        <v>215</v>
      </c>
      <c r="BS28" s="24">
        <v>4</v>
      </c>
      <c r="BT28" s="24">
        <v>5</v>
      </c>
      <c r="BU28" s="32" t="s">
        <v>218</v>
      </c>
      <c r="BV28" s="8" t="str">
        <f>CONCATENATE("10.0.",TEXT(((BITWISE_AND('IP Address'!$D$20,BU$19)/4)+BT28*8),"0"),".",TEXT((BITWISE_AND('IP Address'!$D$21,BU$19)*64)+BQ$24*10+BS28,"0"))</f>
        <v>10.0.43.4</v>
      </c>
      <c r="BW28" s="22"/>
      <c r="BX28" s="35"/>
      <c r="BY28" s="19"/>
      <c r="BZ28" s="192"/>
      <c r="CA28" s="24" t="s">
        <v>215</v>
      </c>
      <c r="CB28" s="24">
        <v>4</v>
      </c>
      <c r="CC28" s="24">
        <v>5</v>
      </c>
      <c r="CD28" s="32" t="s">
        <v>218</v>
      </c>
      <c r="CE28" s="8" t="str">
        <f>CONCATENATE("10.0.",TEXT(((BITWISE_AND('IP Address'!$D$20,CD$19)/4)+CC28*8),"0"),".",TEXT((BITWISE_AND('IP Address'!$D$21,CD$19)*64)+BZ$24*10+CB28,"0"))</f>
        <v>10.0.43.68</v>
      </c>
      <c r="CF28" s="19"/>
      <c r="CG28" s="192"/>
      <c r="CH28" s="24" t="s">
        <v>215</v>
      </c>
      <c r="CI28" s="24">
        <v>4</v>
      </c>
      <c r="CJ28" s="24">
        <v>5</v>
      </c>
      <c r="CK28" s="32" t="s">
        <v>219</v>
      </c>
      <c r="CL28" s="8" t="str">
        <f>CONCATENATE("10.0.",TEXT(((BITWISE_AND('IP Address'!$D$20,CD$19)/4)+CJ28*8),"0"),".",TEXT((BITWISE_AND('IP Address'!$D$21,CD$19)*64)+CG$24*10+CI28,"0"))</f>
        <v>10.0.43.88</v>
      </c>
      <c r="CM28" s="22"/>
      <c r="CN28" s="35"/>
      <c r="CO28" s="19"/>
      <c r="CP28" s="192"/>
      <c r="CQ28" s="24" t="s">
        <v>215</v>
      </c>
      <c r="CR28" s="24">
        <v>4</v>
      </c>
      <c r="CS28" s="24">
        <v>7</v>
      </c>
      <c r="CT28" s="78"/>
      <c r="CU28" s="8" t="str">
        <f>CONCATENATE("10.0.",TEXT(((BITWISE_AND('IP Address'!$D$20,CT$19)/4)+CS28*8),"0"),".",TEXT((BITWISE_AND('IP Address'!$D$21,CT$19)*64)+CP$24*10+CR28,"0"))</f>
        <v>10.0.59.132</v>
      </c>
      <c r="CV28" s="22"/>
      <c r="CX28" s="19"/>
      <c r="CY28" s="192"/>
      <c r="CZ28" s="24" t="s">
        <v>215</v>
      </c>
      <c r="DA28" s="24">
        <v>4</v>
      </c>
      <c r="DB28" s="24">
        <v>5</v>
      </c>
      <c r="DC28" s="32" t="s">
        <v>218</v>
      </c>
      <c r="DD28" s="8" t="str">
        <f>CONCATENATE("10.0.",TEXT(((BITWISE_AND('IP Address'!$D$20,DC$19)/4)+DB28*8),"0"),".",TEXT((BITWISE_AND('IP Address'!$D$21,DC$19)*64)+CY$24*10+DA28,"0"))</f>
        <v>10.0.44.4</v>
      </c>
      <c r="DE28" s="22"/>
      <c r="DG28" s="19"/>
      <c r="DH28" s="192"/>
      <c r="DI28" s="24" t="s">
        <v>215</v>
      </c>
      <c r="DJ28" s="24">
        <v>4</v>
      </c>
      <c r="DK28" s="24">
        <v>5</v>
      </c>
      <c r="DL28" s="32" t="s">
        <v>218</v>
      </c>
      <c r="DM28" s="8" t="str">
        <f>CONCATENATE("10.0.",TEXT(((BITWISE_AND('IP Address'!$D$20,DL$19)/4)+DK28*8),"0"),".",TEXT((BITWISE_AND('IP Address'!$D$21,DL$19)*64)+DH$24*10+DJ28,"0"))</f>
        <v>10.0.44.68</v>
      </c>
      <c r="DN28" s="21"/>
      <c r="DO28" s="192"/>
      <c r="DP28" s="40" t="s">
        <v>215</v>
      </c>
      <c r="DQ28" s="1">
        <v>4</v>
      </c>
      <c r="DR28" s="1">
        <v>1</v>
      </c>
      <c r="DS28" s="32" t="s">
        <v>220</v>
      </c>
      <c r="DT28" s="9" t="str">
        <f>CONCATENATE("10.0.",TEXT(((BITWISE_AND('IP Address'!$D$20,DL$19)/4)+DR28*8),"0"),".",TEXT((BITWISE_AND('IP Address'!$D$21,DL$19)*64)+DO$24*10+DQ28,"0"))</f>
        <v>10.0.12.88</v>
      </c>
      <c r="DU28" s="22"/>
    </row>
    <row r="29" spans="2:125">
      <c r="B29" s="19"/>
      <c r="C29" s="192"/>
      <c r="D29" s="40" t="s">
        <v>221</v>
      </c>
      <c r="E29" s="24">
        <v>5</v>
      </c>
      <c r="F29" s="24">
        <v>6</v>
      </c>
      <c r="G29" s="33" t="s">
        <v>195</v>
      </c>
      <c r="H29" s="125" t="s">
        <v>196</v>
      </c>
      <c r="I29" s="21"/>
      <c r="J29" s="192"/>
      <c r="K29" s="24" t="s">
        <v>221</v>
      </c>
      <c r="L29" s="24">
        <v>5</v>
      </c>
      <c r="M29" s="24">
        <v>1</v>
      </c>
      <c r="N29" s="1" t="s">
        <v>222</v>
      </c>
      <c r="O29" s="8" t="str">
        <f>CONCATENATE("10.0.",TEXT(((BITWISE_AND('IP Address'!$D$20,N$19)/4)+M29*8),"0"),".",TEXT((BITWISE_AND('IP Address'!$D$21,G$19)*64)+J$24*10+L29,"0"))</f>
        <v>10.0.8.89</v>
      </c>
      <c r="P29" s="21"/>
      <c r="Q29" s="200"/>
      <c r="R29" s="40" t="s">
        <v>221</v>
      </c>
      <c r="S29" s="1">
        <v>5</v>
      </c>
      <c r="T29" s="1">
        <v>3</v>
      </c>
      <c r="U29" s="33" t="s">
        <v>223</v>
      </c>
      <c r="V29" s="9" t="str">
        <f>CONCATENATE("10.0.",TEXT(((BITWISE_AND('IP Address'!$D$20,G$19)/4)+T29*8),"0"),".",TEXT((BITWISE_AND('IP Address'!$D$21,G$19)*64)+Q$24*10+S29,"0"))</f>
        <v>10.0.24.109</v>
      </c>
      <c r="W29" s="22"/>
      <c r="X29" s="35"/>
      <c r="Y29" s="19"/>
      <c r="Z29" s="192"/>
      <c r="AA29" s="24" t="s">
        <v>221</v>
      </c>
      <c r="AB29" s="24">
        <v>5</v>
      </c>
      <c r="AC29" s="24">
        <v>5</v>
      </c>
      <c r="AD29" s="32" t="s">
        <v>224</v>
      </c>
      <c r="AE29" s="8" t="str">
        <f>CONCATENATE("10.0.",TEXT(((BITWISE_AND('IP Address'!$D$20,AD$19)/4)+AC29*8),"0"),".",TEXT((BITWISE_AND('IP Address'!$D$21,AD$19)*64)+Z$24*10+AB29,"0"))</f>
        <v>10.0.40.69</v>
      </c>
      <c r="AF29" s="19"/>
      <c r="AG29" s="200"/>
      <c r="AH29" s="40" t="s">
        <v>221</v>
      </c>
      <c r="AI29" s="1">
        <v>5</v>
      </c>
      <c r="AJ29" s="1">
        <v>7</v>
      </c>
      <c r="AL29" s="9" t="str">
        <f>CONCATENATE("10.0.",TEXT(((BITWISE_AND('IP Address'!$D$20,AD$19)/4)+AJ29*8),"0"),".",TEXT((BITWISE_AND('IP Address'!$D$21,AD$19)*64)+AG$24*10+AI29,"0"))</f>
        <v>10.0.56.89</v>
      </c>
      <c r="AM29" s="22"/>
      <c r="AN29" s="35"/>
      <c r="AO29" s="19"/>
      <c r="AP29" s="192"/>
      <c r="AQ29" s="24" t="s">
        <v>221</v>
      </c>
      <c r="AR29" s="24">
        <v>5</v>
      </c>
      <c r="AS29" s="24">
        <v>5</v>
      </c>
      <c r="AT29" s="32" t="s">
        <v>224</v>
      </c>
      <c r="AU29" s="8" t="str">
        <f>CONCATENATE("10.0.",TEXT(((BITWISE_AND('IP Address'!$D$20,AT$19)/4)+AS29*8),"0"),".",TEXT((BITWISE_AND('IP Address'!$D$21,AT$19)*64)+AP$24*10+AR29,"0"))</f>
        <v>10.0.40.133</v>
      </c>
      <c r="AV29" s="22"/>
      <c r="AX29" s="19"/>
      <c r="AY29" s="192"/>
      <c r="AZ29" s="24" t="s">
        <v>221</v>
      </c>
      <c r="BA29" s="24">
        <v>5</v>
      </c>
      <c r="BB29" s="24">
        <v>5</v>
      </c>
      <c r="BC29" s="32" t="s">
        <v>224</v>
      </c>
      <c r="BD29" s="8" t="str">
        <f>CONCATENATE("10.0.",TEXT(((BITWISE_AND('IP Address'!$D$20,BC$19)/4)+BB29*8),"0"),".",TEXT((BITWISE_AND('IP Address'!$D$21,BC$19)*64)+AY$24*10+BA29,"0"))</f>
        <v>10.0.42.69</v>
      </c>
      <c r="BE29" s="22"/>
      <c r="BG29" s="19"/>
      <c r="BH29" s="192"/>
      <c r="BI29" s="24" t="s">
        <v>221</v>
      </c>
      <c r="BJ29" s="24">
        <v>5</v>
      </c>
      <c r="BK29" s="24">
        <v>5</v>
      </c>
      <c r="BL29" s="32" t="s">
        <v>224</v>
      </c>
      <c r="BM29" s="8" t="str">
        <f>CONCATENATE("10.0.",TEXT(((BITWISE_AND('IP Address'!$D$20,BL$19)/4)+BK29*8),"0"),".",TEXT((BITWISE_AND('IP Address'!$D$21,BL$19)*64)+BH$24*10+BJ29,"0"))</f>
        <v>10.0.42.197</v>
      </c>
      <c r="BN29" s="22"/>
      <c r="BP29" s="19"/>
      <c r="BQ29" s="192"/>
      <c r="BR29" s="24" t="s">
        <v>221</v>
      </c>
      <c r="BS29" s="24">
        <v>5</v>
      </c>
      <c r="BT29" s="24">
        <v>5</v>
      </c>
      <c r="BU29" s="32" t="s">
        <v>224</v>
      </c>
      <c r="BV29" s="8" t="str">
        <f>CONCATENATE("10.0.",TEXT(((BITWISE_AND('IP Address'!$D$20,BU$19)/4)+BT29*8),"0"),".",TEXT((BITWISE_AND('IP Address'!$D$21,BU$19)*64)+BQ$24*10+BS29,"0"))</f>
        <v>10.0.43.5</v>
      </c>
      <c r="BW29" s="22"/>
      <c r="BX29" s="35"/>
      <c r="BY29" s="19"/>
      <c r="BZ29" s="192"/>
      <c r="CA29" s="24" t="s">
        <v>221</v>
      </c>
      <c r="CB29" s="24">
        <v>5</v>
      </c>
      <c r="CC29" s="24">
        <v>5</v>
      </c>
      <c r="CD29" s="32" t="s">
        <v>224</v>
      </c>
      <c r="CE29" s="8" t="str">
        <f>CONCATENATE("10.0.",TEXT(((BITWISE_AND('IP Address'!$D$20,CD$19)/4)+CC29*8),"0"),".",TEXT((BITWISE_AND('IP Address'!$D$21,CD$19)*64)+BZ$24*10+CB29,"0"))</f>
        <v>10.0.43.69</v>
      </c>
      <c r="CF29" s="19"/>
      <c r="CG29" s="192"/>
      <c r="CH29" s="24" t="s">
        <v>221</v>
      </c>
      <c r="CI29" s="24">
        <v>5</v>
      </c>
      <c r="CJ29" s="24">
        <v>5</v>
      </c>
      <c r="CK29" s="32" t="s">
        <v>225</v>
      </c>
      <c r="CL29" s="8" t="str">
        <f>CONCATENATE("10.0.",TEXT(((BITWISE_AND('IP Address'!$D$20,CD$19)/4)+CJ29*8),"0"),".",TEXT((BITWISE_AND('IP Address'!$D$21,CD$19)*64)+CG$24*10+CI29,"0"))</f>
        <v>10.0.43.89</v>
      </c>
      <c r="CM29" s="22"/>
      <c r="CN29" s="35"/>
      <c r="CO29" s="19"/>
      <c r="CP29" s="192"/>
      <c r="CQ29" s="24" t="s">
        <v>221</v>
      </c>
      <c r="CR29" s="24">
        <v>5</v>
      </c>
      <c r="CS29" s="24">
        <v>5</v>
      </c>
      <c r="CT29" s="32" t="s">
        <v>224</v>
      </c>
      <c r="CU29" s="8" t="str">
        <f>CONCATENATE("10.0.",TEXT(((BITWISE_AND('IP Address'!$D$20,CT$19)/4)+CS29*8),"0"),".",TEXT((BITWISE_AND('IP Address'!$D$21,CT$19)*64)+CP$24*10+CR29,"0"))</f>
        <v>10.0.43.133</v>
      </c>
      <c r="CV29" s="22"/>
      <c r="CX29" s="19"/>
      <c r="CY29" s="192"/>
      <c r="CZ29" s="24" t="s">
        <v>221</v>
      </c>
      <c r="DA29" s="24">
        <v>5</v>
      </c>
      <c r="DB29" s="24">
        <v>5</v>
      </c>
      <c r="DC29" s="32" t="s">
        <v>224</v>
      </c>
      <c r="DD29" s="8" t="str">
        <f>CONCATENATE("10.0.",TEXT(((BITWISE_AND('IP Address'!$D$20,DC$19)/4)+DB29*8),"0"),".",TEXT((BITWISE_AND('IP Address'!$D$21,DC$19)*64)+CY$24*10+DA29,"0"))</f>
        <v>10.0.44.5</v>
      </c>
      <c r="DE29" s="22"/>
      <c r="DG29" s="19"/>
      <c r="DH29" s="192"/>
      <c r="DI29" s="24" t="s">
        <v>221</v>
      </c>
      <c r="DJ29" s="24">
        <v>5</v>
      </c>
      <c r="DK29" s="24">
        <v>5</v>
      </c>
      <c r="DL29" s="32" t="s">
        <v>224</v>
      </c>
      <c r="DM29" s="8" t="str">
        <f>CONCATENATE("10.0.",TEXT(((BITWISE_AND('IP Address'!$D$20,DL$19)/4)+DK29*8),"0"),".",TEXT((BITWISE_AND('IP Address'!$D$21,DL$19)*64)+DH$24*10+DJ29,"0"))</f>
        <v>10.0.44.69</v>
      </c>
      <c r="DN29" s="21"/>
      <c r="DO29" s="192"/>
      <c r="DP29" s="40" t="s">
        <v>221</v>
      </c>
      <c r="DQ29" s="1">
        <v>5</v>
      </c>
      <c r="DR29" s="1">
        <v>7</v>
      </c>
      <c r="DS29" s="32"/>
      <c r="DT29" s="9" t="str">
        <f>CONCATENATE("10.0.",TEXT(((BITWISE_AND('IP Address'!$D$20,DL$19)/4)+DR29*8),"0"),".",TEXT((BITWISE_AND('IP Address'!$D$21,DL$19)*64)+DO$24*10+DQ29,"0"))</f>
        <v>10.0.60.89</v>
      </c>
      <c r="DU29" s="22"/>
    </row>
    <row r="30" spans="2:125">
      <c r="B30" s="19"/>
      <c r="C30" s="192"/>
      <c r="D30" s="40" t="s">
        <v>226</v>
      </c>
      <c r="E30" s="24">
        <v>6</v>
      </c>
      <c r="F30" s="24">
        <v>6</v>
      </c>
      <c r="G30" s="33" t="s">
        <v>227</v>
      </c>
      <c r="H30" s="125" t="s">
        <v>228</v>
      </c>
      <c r="I30" s="21"/>
      <c r="J30" s="192"/>
      <c r="K30" s="24" t="s">
        <v>226</v>
      </c>
      <c r="L30" s="24">
        <v>6</v>
      </c>
      <c r="M30" s="24">
        <v>1</v>
      </c>
      <c r="N30" s="1" t="s">
        <v>229</v>
      </c>
      <c r="O30" s="8" t="str">
        <f>CONCATENATE("10.0.",TEXT(((BITWISE_AND('IP Address'!$D$20,N$19)/4)+M30*8),"0"),".",TEXT((BITWISE_AND('IP Address'!$D$21,G$19)*64)+J$24*10+L30,"0"))</f>
        <v>10.0.8.90</v>
      </c>
      <c r="P30" s="21"/>
      <c r="Q30" s="200"/>
      <c r="R30" s="40" t="s">
        <v>226</v>
      </c>
      <c r="S30" s="1">
        <v>6</v>
      </c>
      <c r="T30" s="1">
        <v>3</v>
      </c>
      <c r="U30" s="33" t="s">
        <v>230</v>
      </c>
      <c r="V30" s="9" t="str">
        <f>CONCATENATE("10.0.",TEXT(((BITWISE_AND('IP Address'!$D$20,G$19)/4)+T30*8),"0"),".",TEXT((BITWISE_AND('IP Address'!$D$21,G$19)*64)+Q$24*10+S30,"0"))</f>
        <v>10.0.24.110</v>
      </c>
      <c r="W30" s="22"/>
      <c r="X30" s="35"/>
      <c r="Y30" s="19"/>
      <c r="Z30" s="192"/>
      <c r="AA30" s="24" t="s">
        <v>226</v>
      </c>
      <c r="AB30" s="24">
        <v>6</v>
      </c>
      <c r="AC30" s="24">
        <v>7</v>
      </c>
      <c r="AD30" s="31"/>
      <c r="AE30" s="8" t="str">
        <f>CONCATENATE("10.0.",TEXT(((BITWISE_AND('IP Address'!$D$20,AD$19)/4)+AC30*8),"0"),".",TEXT((BITWISE_AND('IP Address'!$D$21,AD$19)*64)+Z$24*10+AB30,"0"))</f>
        <v>10.0.56.70</v>
      </c>
      <c r="AF30" s="19"/>
      <c r="AG30" s="200"/>
      <c r="AH30" s="40" t="s">
        <v>226</v>
      </c>
      <c r="AI30" s="1">
        <v>6</v>
      </c>
      <c r="AJ30" s="1">
        <v>5</v>
      </c>
      <c r="AK30" s="32" t="s">
        <v>231</v>
      </c>
      <c r="AL30" s="9" t="str">
        <f>CONCATENATE("10.0.",TEXT(((BITWISE_AND('IP Address'!$D$20,AD$19)/4)+AJ30*8),"0"),".",TEXT((BITWISE_AND('IP Address'!$D$21,AD$19)*64)+AG$24*10+AI30,"0"))</f>
        <v>10.0.40.90</v>
      </c>
      <c r="AM30" s="22"/>
      <c r="AN30" s="35"/>
      <c r="AO30" s="19"/>
      <c r="AP30" s="192"/>
      <c r="AQ30" s="24" t="s">
        <v>226</v>
      </c>
      <c r="AR30" s="24">
        <v>6</v>
      </c>
      <c r="AS30" s="24">
        <v>7</v>
      </c>
      <c r="AT30" s="1"/>
      <c r="AU30" s="8" t="str">
        <f>CONCATENATE("10.0.",TEXT(((BITWISE_AND('IP Address'!$D$20,AT$19)/4)+AS30*8),"0"),".",TEXT((BITWISE_AND('IP Address'!$D$21,AT$19)*64)+AP$24*10+AR30,"0"))</f>
        <v>10.0.56.134</v>
      </c>
      <c r="AV30" s="22"/>
      <c r="AX30" s="19"/>
      <c r="AY30" s="192"/>
      <c r="AZ30" s="24" t="s">
        <v>226</v>
      </c>
      <c r="BA30" s="24">
        <v>6</v>
      </c>
      <c r="BB30" s="24">
        <v>7</v>
      </c>
      <c r="BC30" s="1"/>
      <c r="BD30" s="8" t="str">
        <f>CONCATENATE("10.0.",TEXT(((BITWISE_AND('IP Address'!$D$20,BC$19)/4)+BB30*8),"0"),".",TEXT((BITWISE_AND('IP Address'!$D$21,BC$19)*64)+AY$24*10+BA30,"0"))</f>
        <v>10.0.58.70</v>
      </c>
      <c r="BE30" s="22"/>
      <c r="BG30" s="19"/>
      <c r="BH30" s="192"/>
      <c r="BI30" s="24" t="s">
        <v>226</v>
      </c>
      <c r="BJ30" s="24">
        <v>6</v>
      </c>
      <c r="BK30" s="24">
        <v>7</v>
      </c>
      <c r="BL30" s="1"/>
      <c r="BM30" s="8" t="str">
        <f>CONCATENATE("10.0.",TEXT(((BITWISE_AND('IP Address'!$D$20,BL$19)/4)+BK30*8),"0"),".",TEXT((BITWISE_AND('IP Address'!$D$21,BL$19)*64)+BH$24*10+BJ30,"0"))</f>
        <v>10.0.58.198</v>
      </c>
      <c r="BN30" s="22"/>
      <c r="BP30" s="19"/>
      <c r="BQ30" s="192"/>
      <c r="BR30" s="24" t="s">
        <v>226</v>
      </c>
      <c r="BS30" s="24">
        <v>6</v>
      </c>
      <c r="BT30" s="24">
        <v>5</v>
      </c>
      <c r="BU30" s="32" t="s">
        <v>232</v>
      </c>
      <c r="BV30" s="8" t="str">
        <f>CONCATENATE("10.0.",TEXT(((BITWISE_AND('IP Address'!$D$20,BU$19)/4)+BT30*8),"0"),".",TEXT((BITWISE_AND('IP Address'!$D$21,BU$19)*64)+BQ$24*10+BS30,"0"))</f>
        <v>10.0.43.6</v>
      </c>
      <c r="BW30" s="22"/>
      <c r="BX30" s="35"/>
      <c r="BY30" s="19"/>
      <c r="BZ30" s="192"/>
      <c r="CA30" s="24" t="s">
        <v>226</v>
      </c>
      <c r="CB30" s="24">
        <v>6</v>
      </c>
      <c r="CC30" s="24">
        <v>7</v>
      </c>
      <c r="CD30" s="1"/>
      <c r="CE30" s="8" t="str">
        <f>CONCATENATE("10.0.",TEXT(((BITWISE_AND('IP Address'!$D$20,CD$19)/4)+CC30*8),"0"),".",TEXT((BITWISE_AND('IP Address'!$D$21,CD$19)*64)+BZ$24*10+CB30,"0"))</f>
        <v>10.0.59.70</v>
      </c>
      <c r="CF30" s="19"/>
      <c r="CG30" s="192"/>
      <c r="CH30" s="24" t="s">
        <v>226</v>
      </c>
      <c r="CI30" s="24">
        <v>6</v>
      </c>
      <c r="CJ30" s="24">
        <v>5</v>
      </c>
      <c r="CK30" s="32" t="s">
        <v>233</v>
      </c>
      <c r="CL30" s="8" t="str">
        <f>CONCATENATE("10.0.",TEXT(((BITWISE_AND('IP Address'!$D$20,CD$19)/4)+CJ30*8),"0"),".",TEXT((BITWISE_AND('IP Address'!$D$21,CD$19)*64)+CG$24*10+CI30,"0"))</f>
        <v>10.0.43.90</v>
      </c>
      <c r="CM30" s="22"/>
      <c r="CN30" s="35"/>
      <c r="CO30" s="19"/>
      <c r="CP30" s="192"/>
      <c r="CQ30" s="24" t="s">
        <v>226</v>
      </c>
      <c r="CR30" s="24">
        <v>6</v>
      </c>
      <c r="CS30" s="24">
        <v>7</v>
      </c>
      <c r="CU30" s="8" t="str">
        <f>CONCATENATE("10.0.",TEXT(((BITWISE_AND('IP Address'!$D$20,CT$19)/4)+CS30*8),"0"),".",TEXT((BITWISE_AND('IP Address'!$D$21,CT$19)*64)+CP$24*10+CR30,"0"))</f>
        <v>10.0.59.134</v>
      </c>
      <c r="CV30" s="22"/>
      <c r="CX30" s="19"/>
      <c r="CY30" s="192"/>
      <c r="CZ30" s="24" t="s">
        <v>226</v>
      </c>
      <c r="DA30" s="24">
        <v>6</v>
      </c>
      <c r="DB30" s="24">
        <v>7</v>
      </c>
      <c r="DD30" s="8" t="str">
        <f>CONCATENATE("10.0.",TEXT(((BITWISE_AND('IP Address'!$D$20,DC$19)/4)+DB30*8),"0"),".",TEXT((BITWISE_AND('IP Address'!$D$21,DC$19)*64)+CY$24*10+DA30,"0"))</f>
        <v>10.0.60.6</v>
      </c>
      <c r="DE30" s="22"/>
      <c r="DG30" s="19"/>
      <c r="DH30" s="192"/>
      <c r="DI30" s="24" t="s">
        <v>226</v>
      </c>
      <c r="DJ30" s="24">
        <v>6</v>
      </c>
      <c r="DK30" s="24">
        <v>6</v>
      </c>
      <c r="DL30" s="32" t="s">
        <v>234</v>
      </c>
      <c r="DM30" s="125" t="s">
        <v>228</v>
      </c>
      <c r="DN30" s="21"/>
      <c r="DO30" s="192"/>
      <c r="DP30" s="40" t="s">
        <v>226</v>
      </c>
      <c r="DQ30" s="1">
        <v>6</v>
      </c>
      <c r="DR30" s="1">
        <v>7</v>
      </c>
      <c r="DS30" s="32"/>
      <c r="DT30" s="9" t="str">
        <f>CONCATENATE("10.0.",TEXT(((BITWISE_AND('IP Address'!$D$20,DL$19)/4)+DR30*8),"0"),".",TEXT((BITWISE_AND('IP Address'!$D$21,DL$19)*64)+DO$24*10+DQ30,"0"))</f>
        <v>10.0.60.90</v>
      </c>
      <c r="DU30" s="22"/>
    </row>
    <row r="31" spans="2:125">
      <c r="B31" s="19"/>
      <c r="C31" s="192"/>
      <c r="D31" s="40" t="s">
        <v>235</v>
      </c>
      <c r="E31" s="24">
        <v>7</v>
      </c>
      <c r="F31" s="24">
        <v>3</v>
      </c>
      <c r="G31" s="33" t="s">
        <v>236</v>
      </c>
      <c r="H31" s="8" t="str">
        <f>CONCATENATE("10.0.",TEXT(((BITWISE_AND('IP Address'!$D$20,G$19)/4)+F31*8),"0"),".",TEXT((BITWISE_AND('IP Address'!$D$21,G$19)*64)+C$24*10+E31,"0"))</f>
        <v>10.0.24.71</v>
      </c>
      <c r="I31" s="21"/>
      <c r="J31" s="192"/>
      <c r="K31" s="24" t="s">
        <v>235</v>
      </c>
      <c r="L31" s="24">
        <v>7</v>
      </c>
      <c r="M31" s="24">
        <v>1</v>
      </c>
      <c r="N31" s="1" t="s">
        <v>237</v>
      </c>
      <c r="O31" s="8" t="str">
        <f>CONCATENATE("10.0.",TEXT(((BITWISE_AND('IP Address'!$D$20,N$19)/4)+M31*8),"0"),".",TEXT((BITWISE_AND('IP Address'!$D$21,G$19)*64)+J$24*10+L31,"0"))</f>
        <v>10.0.8.91</v>
      </c>
      <c r="P31" s="21"/>
      <c r="Q31" s="200"/>
      <c r="R31" s="40" t="s">
        <v>235</v>
      </c>
      <c r="S31" s="1">
        <v>7</v>
      </c>
      <c r="T31" s="1">
        <v>6</v>
      </c>
      <c r="U31" s="33" t="s">
        <v>238</v>
      </c>
      <c r="V31" s="126" t="s">
        <v>239</v>
      </c>
      <c r="W31" s="22"/>
      <c r="X31" s="35"/>
      <c r="Y31" s="19"/>
      <c r="Z31" s="192"/>
      <c r="AA31" s="24" t="s">
        <v>235</v>
      </c>
      <c r="AB31" s="24">
        <v>7</v>
      </c>
      <c r="AC31" s="25">
        <v>0</v>
      </c>
      <c r="AD31" s="32" t="s">
        <v>202</v>
      </c>
      <c r="AE31" s="125" t="s">
        <v>240</v>
      </c>
      <c r="AF31" s="19"/>
      <c r="AG31" s="200"/>
      <c r="AH31" s="40" t="s">
        <v>235</v>
      </c>
      <c r="AI31" s="1">
        <v>7</v>
      </c>
      <c r="AJ31" s="1">
        <v>7</v>
      </c>
      <c r="AK31" s="1"/>
      <c r="AL31" s="9" t="str">
        <f>CONCATENATE("10.0.",TEXT(((BITWISE_AND('IP Address'!$D$20,AD$19)/4)+AJ31*8),"0"),".",TEXT((BITWISE_AND('IP Address'!$D$21,AD$19)*64)+AG$24*10+AI31,"0"))</f>
        <v>10.0.56.91</v>
      </c>
      <c r="AM31" s="22"/>
      <c r="AN31" s="35"/>
      <c r="AO31" s="19"/>
      <c r="AP31" s="192"/>
      <c r="AQ31" s="24" t="s">
        <v>235</v>
      </c>
      <c r="AR31" s="24">
        <v>7</v>
      </c>
      <c r="AS31" s="24">
        <v>3</v>
      </c>
      <c r="AT31" s="32" t="s">
        <v>241</v>
      </c>
      <c r="AU31" s="8" t="str">
        <f>CONCATENATE("10.0.",TEXT(((BITWISE_AND('IP Address'!$D$20,AT$19)/4)+AS31*8),"0"),".",TEXT((BITWISE_AND('IP Address'!$D$21,AT$19)*64)+AP$24*10+AR31,"0"))</f>
        <v>10.0.24.135</v>
      </c>
      <c r="AV31" s="22"/>
      <c r="AX31" s="19"/>
      <c r="AY31" s="192"/>
      <c r="AZ31" s="24" t="s">
        <v>235</v>
      </c>
      <c r="BA31" s="24">
        <v>7</v>
      </c>
      <c r="BB31" s="24">
        <v>7</v>
      </c>
      <c r="BC31" s="1"/>
      <c r="BD31" s="8" t="str">
        <f>CONCATENATE("10.0.",TEXT(((BITWISE_AND('IP Address'!$D$20,BC$19)/4)+BB31*8),"0"),".",TEXT((BITWISE_AND('IP Address'!$D$21,BC$19)*64)+AY$24*10+BA31,"0"))</f>
        <v>10.0.58.71</v>
      </c>
      <c r="BE31" s="22"/>
      <c r="BG31" s="19"/>
      <c r="BH31" s="192"/>
      <c r="BI31" s="24" t="s">
        <v>235</v>
      </c>
      <c r="BJ31" s="24">
        <v>7</v>
      </c>
      <c r="BK31" s="24">
        <v>7</v>
      </c>
      <c r="BL31" s="1"/>
      <c r="BM31" s="8" t="str">
        <f>CONCATENATE("10.0.",TEXT(((BITWISE_AND('IP Address'!$D$20,BL$19)/4)+BK31*8),"0"),".",TEXT((BITWISE_AND('IP Address'!$D$21,BL$19)*64)+BH$24*10+BJ31,"0"))</f>
        <v>10.0.58.199</v>
      </c>
      <c r="BN31" s="22"/>
      <c r="BP31" s="19"/>
      <c r="BQ31" s="192"/>
      <c r="BR31" s="24" t="s">
        <v>235</v>
      </c>
      <c r="BS31" s="24">
        <v>7</v>
      </c>
      <c r="BT31" s="24">
        <v>7</v>
      </c>
      <c r="BU31" s="1"/>
      <c r="BV31" s="8" t="str">
        <f>CONCATENATE("10.0.",TEXT(((BITWISE_AND('IP Address'!$D$20,BU$19)/4)+BT31*8),"0"),".",TEXT((BITWISE_AND('IP Address'!$D$21,BU$19)*64)+BQ$24*10+BS31,"0"))</f>
        <v>10.0.59.7</v>
      </c>
      <c r="BW31" s="22"/>
      <c r="BX31" s="35"/>
      <c r="BY31" s="19"/>
      <c r="BZ31" s="192"/>
      <c r="CA31" s="24" t="s">
        <v>235</v>
      </c>
      <c r="CB31" s="24">
        <v>7</v>
      </c>
      <c r="CC31" s="24">
        <v>3</v>
      </c>
      <c r="CD31" s="32" t="s">
        <v>241</v>
      </c>
      <c r="CE31" s="8" t="str">
        <f>CONCATENATE("10.0.",TEXT(((BITWISE_AND('IP Address'!$D$20,CD$19)/4)+CC31*8),"0"),".",TEXT((BITWISE_AND('IP Address'!$D$21,CD$19)*64)+BZ$24*10+CB31,"0"))</f>
        <v>10.0.27.71</v>
      </c>
      <c r="CF31" s="19"/>
      <c r="CG31" s="192"/>
      <c r="CH31" s="24" t="s">
        <v>235</v>
      </c>
      <c r="CI31" s="24">
        <v>7</v>
      </c>
      <c r="CJ31" s="24">
        <v>7</v>
      </c>
      <c r="CK31" s="31"/>
      <c r="CL31" s="8" t="str">
        <f>CONCATENATE("10.0.",TEXT(((BITWISE_AND('IP Address'!$D$20,CD$19)/4)+CJ31*8),"0"),".",TEXT((BITWISE_AND('IP Address'!$D$21,CD$19)*64)+CG$24*10+CI31,"0"))</f>
        <v>10.0.59.91</v>
      </c>
      <c r="CM31" s="22"/>
      <c r="CN31" s="35"/>
      <c r="CO31" s="19"/>
      <c r="CP31" s="192"/>
      <c r="CQ31" s="24" t="s">
        <v>235</v>
      </c>
      <c r="CR31" s="24">
        <v>7</v>
      </c>
      <c r="CS31" s="24">
        <v>7</v>
      </c>
      <c r="CT31" s="1"/>
      <c r="CU31" s="8" t="str">
        <f>CONCATENATE("10.0.",TEXT(((BITWISE_AND('IP Address'!$D$20,CT$19)/4)+CS31*8),"0"),".",TEXT((BITWISE_AND('IP Address'!$D$21,CT$19)*64)+CP$24*10+CR31,"0"))</f>
        <v>10.0.59.135</v>
      </c>
      <c r="CV31" s="22"/>
      <c r="CX31" s="19"/>
      <c r="CY31" s="192"/>
      <c r="CZ31" s="24" t="s">
        <v>235</v>
      </c>
      <c r="DA31" s="24">
        <v>7</v>
      </c>
      <c r="DB31" s="24">
        <v>3</v>
      </c>
      <c r="DC31" s="32" t="s">
        <v>241</v>
      </c>
      <c r="DD31" s="8" t="str">
        <f>CONCATENATE("10.0.",TEXT(((BITWISE_AND('IP Address'!$D$20,DC$19)/4)+DB31*8),"0"),".",TEXT((BITWISE_AND('IP Address'!$D$21,DC$19)*64)+CY$24*10+DA31,"0"))</f>
        <v>10.0.28.7</v>
      </c>
      <c r="DE31" s="22"/>
      <c r="DG31" s="19"/>
      <c r="DH31" s="192"/>
      <c r="DI31" s="24" t="s">
        <v>235</v>
      </c>
      <c r="DJ31" s="24">
        <v>7</v>
      </c>
      <c r="DK31" s="24">
        <v>3</v>
      </c>
      <c r="DL31" s="32" t="s">
        <v>236</v>
      </c>
      <c r="DM31" s="8" t="str">
        <f>CONCATENATE("10.0.",TEXT(((BITWISE_AND('IP Address'!$D$20,DL$19)/4)+DK31*8),"0"),".",TEXT((BITWISE_AND('IP Address'!$D$21,DL$19)*64)+DH$24*10+DJ31,"0"))</f>
        <v>10.0.28.71</v>
      </c>
      <c r="DN31" s="21"/>
      <c r="DO31" s="192"/>
      <c r="DP31" s="40" t="s">
        <v>235</v>
      </c>
      <c r="DQ31" s="1">
        <v>7</v>
      </c>
      <c r="DR31" s="1">
        <v>3</v>
      </c>
      <c r="DS31" s="32" t="s">
        <v>242</v>
      </c>
      <c r="DT31" s="9" t="str">
        <f>CONCATENATE("10.0.",TEXT(((BITWISE_AND('IP Address'!$D$20,DL$19)/4)+DR31*8),"0"),".",TEXT((BITWISE_AND('IP Address'!$D$21,DL$19)*64)+DO$24*10+DQ31,"0"))</f>
        <v>10.0.28.91</v>
      </c>
      <c r="DU31" s="22"/>
    </row>
    <row r="32" spans="2:125">
      <c r="B32" s="19"/>
      <c r="C32" s="192"/>
      <c r="D32" s="48" t="s">
        <v>243</v>
      </c>
      <c r="E32" s="25">
        <v>8</v>
      </c>
      <c r="F32" s="25">
        <v>1</v>
      </c>
      <c r="G32" s="36" t="s">
        <v>244</v>
      </c>
      <c r="H32" s="10" t="str">
        <f>CONCATENATE("10.0.",TEXT(((BITWISE_AND('IP Address'!$D$20,G$19)/4)+F32*8),"0"),".",TEXT((BITWISE_AND('IP Address'!$D$21,G$19)*64)+C$24*10+E32,"0"))</f>
        <v>10.0.8.72</v>
      </c>
      <c r="I32" s="21"/>
      <c r="J32" s="192"/>
      <c r="K32" s="25" t="s">
        <v>243</v>
      </c>
      <c r="L32" s="25">
        <v>8</v>
      </c>
      <c r="M32" s="25">
        <v>0</v>
      </c>
      <c r="N32" s="2" t="s">
        <v>245</v>
      </c>
      <c r="O32" s="137" t="str">
        <f>V23</f>
        <v>10.0.63.252</v>
      </c>
      <c r="P32" s="21"/>
      <c r="Q32" s="200"/>
      <c r="R32" s="48" t="s">
        <v>243</v>
      </c>
      <c r="S32" s="2">
        <v>8</v>
      </c>
      <c r="T32" s="2">
        <v>0</v>
      </c>
      <c r="U32" s="36" t="s">
        <v>246</v>
      </c>
      <c r="V32" s="137" t="str">
        <f>O23</f>
        <v>10.0.63.250</v>
      </c>
      <c r="W32" s="22"/>
      <c r="X32" s="35"/>
      <c r="Y32" s="19"/>
      <c r="Z32" s="192"/>
      <c r="AA32" s="25" t="s">
        <v>243</v>
      </c>
      <c r="AB32" s="25">
        <v>8</v>
      </c>
      <c r="AC32" s="25">
        <v>0</v>
      </c>
      <c r="AD32" s="36" t="s">
        <v>246</v>
      </c>
      <c r="AE32" s="137" t="str">
        <f>AL23</f>
        <v>10.0.56.107</v>
      </c>
      <c r="AF32" s="19"/>
      <c r="AG32" s="200"/>
      <c r="AH32" s="48" t="s">
        <v>243</v>
      </c>
      <c r="AI32" s="2">
        <v>8</v>
      </c>
      <c r="AJ32" s="2">
        <v>0</v>
      </c>
      <c r="AK32" s="2" t="s">
        <v>247</v>
      </c>
      <c r="AL32" s="10" t="str">
        <f>AE23</f>
        <v>10.0.63.248</v>
      </c>
      <c r="AM32" s="22"/>
      <c r="AN32" s="35"/>
      <c r="AO32" s="19"/>
      <c r="AP32" s="192"/>
      <c r="AQ32" s="25" t="s">
        <v>243</v>
      </c>
      <c r="AR32" s="25">
        <v>8</v>
      </c>
      <c r="AS32" s="25">
        <v>7</v>
      </c>
      <c r="AT32" s="2"/>
      <c r="AU32" s="10" t="str">
        <f>CONCATENATE("10.0.",TEXT(((BITWISE_AND('IP Address'!$D$20,AT$19)/4)+AS32*8),"0"),".",TEXT((BITWISE_AND('IP Address'!$D$21,AT$19)*64)+AP$24*10+AR32,"0"))</f>
        <v>10.0.56.136</v>
      </c>
      <c r="AV32" s="22"/>
      <c r="AX32" s="19"/>
      <c r="AY32" s="192"/>
      <c r="AZ32" s="25" t="s">
        <v>243</v>
      </c>
      <c r="BA32" s="25">
        <v>8</v>
      </c>
      <c r="BB32" s="25">
        <v>7</v>
      </c>
      <c r="BC32" s="2"/>
      <c r="BD32" s="10" t="str">
        <f>CONCATENATE("10.0.",TEXT(((BITWISE_AND('IP Address'!$D$20,BC$19)/4)+BB32*8),"0"),".",TEXT((BITWISE_AND('IP Address'!$D$21,BC$19)*64)+AY$24*10+BA32,"0"))</f>
        <v>10.0.58.72</v>
      </c>
      <c r="BE32" s="22"/>
      <c r="BG32" s="19"/>
      <c r="BH32" s="192"/>
      <c r="BI32" s="25" t="s">
        <v>243</v>
      </c>
      <c r="BJ32" s="25">
        <v>8</v>
      </c>
      <c r="BK32" s="25">
        <v>7</v>
      </c>
      <c r="BL32" s="2"/>
      <c r="BM32" s="10" t="str">
        <f>CONCATENATE("10.0.",TEXT(((BITWISE_AND('IP Address'!$D$20,BL$19)/4)+BK32*8),"0"),".",TEXT((BITWISE_AND('IP Address'!$D$21,BL$19)*64)+BH$24*10+BJ32,"0"))</f>
        <v>10.0.58.200</v>
      </c>
      <c r="BN32" s="22"/>
      <c r="BP32" s="19"/>
      <c r="BQ32" s="192"/>
      <c r="BR32" s="25" t="s">
        <v>243</v>
      </c>
      <c r="BS32" s="25">
        <v>8</v>
      </c>
      <c r="BT32" s="25">
        <v>7</v>
      </c>
      <c r="BU32" s="2"/>
      <c r="BV32" s="10" t="str">
        <f>CONCATENATE("10.0.",TEXT(((BITWISE_AND('IP Address'!$D$20,BU$19)/4)+BT32*8),"0"),".",TEXT((BITWISE_AND('IP Address'!$D$21,BU$19)*64)+BQ$24*10+BS32,"0"))</f>
        <v>10.0.59.8</v>
      </c>
      <c r="BW32" s="22"/>
      <c r="BX32" s="35"/>
      <c r="BY32" s="19"/>
      <c r="BZ32" s="192"/>
      <c r="CA32" s="25" t="s">
        <v>243</v>
      </c>
      <c r="CB32" s="25">
        <v>8</v>
      </c>
      <c r="CC32" s="25">
        <v>0</v>
      </c>
      <c r="CD32" s="2" t="s">
        <v>245</v>
      </c>
      <c r="CE32" s="137" t="str">
        <f>CL23</f>
        <v>10.0.63.252</v>
      </c>
      <c r="CF32" s="19"/>
      <c r="CG32" s="192"/>
      <c r="CH32" s="25" t="s">
        <v>243</v>
      </c>
      <c r="CI32" s="25">
        <v>8</v>
      </c>
      <c r="CJ32" s="25">
        <v>0</v>
      </c>
      <c r="CK32" s="2" t="s">
        <v>247</v>
      </c>
      <c r="CL32" s="137" t="str">
        <f>CE23</f>
        <v>10.0.63.250</v>
      </c>
      <c r="CM32" s="22"/>
      <c r="CN32" s="35"/>
      <c r="CO32" s="19"/>
      <c r="CP32" s="192"/>
      <c r="CQ32" s="25" t="s">
        <v>243</v>
      </c>
      <c r="CR32" s="25">
        <v>8</v>
      </c>
      <c r="CS32" s="25">
        <v>7</v>
      </c>
      <c r="CT32" s="2"/>
      <c r="CU32" s="10" t="str">
        <f>CONCATENATE("10.0.",TEXT(((BITWISE_AND('IP Address'!$D$20,CT$19)/4)+CS32*8),"0"),".",TEXT((BITWISE_AND('IP Address'!$D$21,CT$19)*64)+CP$24*10+CR32,"0"))</f>
        <v>10.0.59.136</v>
      </c>
      <c r="CV32" s="22"/>
      <c r="CX32" s="19"/>
      <c r="CY32" s="192"/>
      <c r="CZ32" s="25" t="s">
        <v>243</v>
      </c>
      <c r="DA32" s="25">
        <v>8</v>
      </c>
      <c r="DB32" s="25">
        <v>7</v>
      </c>
      <c r="DC32" s="2"/>
      <c r="DD32" s="10" t="str">
        <f>CONCATENATE("10.0.",TEXT(((BITWISE_AND('IP Address'!$D$20,DC$19)/4)+DB32*8),"0"),".",TEXT((BITWISE_AND('IP Address'!$D$21,DC$19)*64)+CY$24*10+DA32,"0"))</f>
        <v>10.0.60.8</v>
      </c>
      <c r="DE32" s="22"/>
      <c r="DG32" s="19"/>
      <c r="DH32" s="192"/>
      <c r="DI32" s="25" t="s">
        <v>243</v>
      </c>
      <c r="DJ32" s="25">
        <v>8</v>
      </c>
      <c r="DK32" s="25">
        <v>7</v>
      </c>
      <c r="DL32" s="2"/>
      <c r="DM32" s="10" t="str">
        <f>CONCATENATE("10.0.",TEXT(((BITWISE_AND('IP Address'!$D$20,DL$19)/4)+DK32*8),"0"),".",TEXT((BITWISE_AND('IP Address'!$D$21,DL$19)*64)+DH$24*10+DJ32,"0"))</f>
        <v>10.0.60.72</v>
      </c>
      <c r="DN32" s="21"/>
      <c r="DO32" s="192"/>
      <c r="DP32" s="48" t="s">
        <v>243</v>
      </c>
      <c r="DQ32" s="2">
        <v>8</v>
      </c>
      <c r="DR32" s="2">
        <v>7</v>
      </c>
      <c r="DS32" s="77"/>
      <c r="DT32" s="10" t="str">
        <f>CONCATENATE("10.0.",TEXT(((BITWISE_AND('IP Address'!$D$20,DL$19)/4)+DR32*8),"0"),".",TEXT((BITWISE_AND('IP Address'!$D$21,DL$19)*64)+DO$24*10+DQ32,"0"))</f>
        <v>10.0.60.92</v>
      </c>
      <c r="DU32" s="22"/>
    </row>
    <row r="33" spans="2:125" ht="15.75" thickBot="1">
      <c r="B33" s="19"/>
      <c r="C33" s="192"/>
      <c r="D33" s="49" t="s">
        <v>248</v>
      </c>
      <c r="E33" s="26">
        <v>9</v>
      </c>
      <c r="F33" s="26">
        <v>3</v>
      </c>
      <c r="G33" s="120" t="s">
        <v>213</v>
      </c>
      <c r="H33" s="12" t="str">
        <f>CONCATENATE("10.0.",TEXT(((BITWISE_AND('IP Address'!$D$20,G$19)/4)+F33*8),"0"),".",TEXT((BITWISE_AND('IP Address'!$D$21,G$19)*64)+C$24*10+E33,"0"))</f>
        <v>10.0.24.73</v>
      </c>
      <c r="I33" s="21"/>
      <c r="J33" s="192"/>
      <c r="K33" s="26" t="s">
        <v>248</v>
      </c>
      <c r="L33" s="26">
        <v>9</v>
      </c>
      <c r="M33" s="26">
        <v>0</v>
      </c>
      <c r="N33" s="11" t="s">
        <v>249</v>
      </c>
      <c r="O33" s="155" t="str">
        <f>V41</f>
        <v>10.0.63.253</v>
      </c>
      <c r="P33" s="21"/>
      <c r="Q33" s="201"/>
      <c r="R33" s="49" t="s">
        <v>248</v>
      </c>
      <c r="S33" s="11">
        <v>9</v>
      </c>
      <c r="T33" s="11">
        <v>0</v>
      </c>
      <c r="U33" s="11" t="s">
        <v>250</v>
      </c>
      <c r="V33" s="155" t="str">
        <f>O41</f>
        <v>10.0.63.251</v>
      </c>
      <c r="W33" s="22"/>
      <c r="X33" s="35"/>
      <c r="Y33" s="19"/>
      <c r="Z33" s="192"/>
      <c r="AA33" s="26" t="s">
        <v>248</v>
      </c>
      <c r="AB33" s="26">
        <v>9</v>
      </c>
      <c r="AC33" s="26">
        <v>3</v>
      </c>
      <c r="AD33" s="120" t="s">
        <v>242</v>
      </c>
      <c r="AE33" s="12" t="str">
        <f>CONCATENATE("10.0.",TEXT(((BITWISE_AND('IP Address'!$D$20,AD$19)/4)+AC33*8),"0"),".",TEXT((BITWISE_AND('IP Address'!$D$21,AD$19)*64)+Z$24*10+AB33,"0"))</f>
        <v>10.0.24.73</v>
      </c>
      <c r="AF33" s="19"/>
      <c r="AG33" s="201"/>
      <c r="AH33" s="49" t="s">
        <v>248</v>
      </c>
      <c r="AI33" s="11">
        <v>9</v>
      </c>
      <c r="AJ33" s="11">
        <v>0</v>
      </c>
      <c r="AK33" s="11" t="s">
        <v>251</v>
      </c>
      <c r="AL33" s="12" t="str">
        <f>AE41</f>
        <v>10.0.63.249</v>
      </c>
      <c r="AM33" s="22"/>
      <c r="AN33" s="35"/>
      <c r="AO33" s="19"/>
      <c r="AP33" s="192"/>
      <c r="AQ33" s="26" t="s">
        <v>248</v>
      </c>
      <c r="AR33" s="26">
        <v>9</v>
      </c>
      <c r="AS33" s="26">
        <v>3</v>
      </c>
      <c r="AT33" s="120" t="s">
        <v>213</v>
      </c>
      <c r="AU33" s="12" t="str">
        <f>CONCATENATE("10.0.",TEXT(((BITWISE_AND('IP Address'!$D$20,AT$19)/4)+AS33*8),"0"),".",TEXT((BITWISE_AND('IP Address'!$D$21,AT$19)*64)+AP$24*10+AR33,"0"))</f>
        <v>10.0.24.137</v>
      </c>
      <c r="AV33" s="22"/>
      <c r="AX33" s="19"/>
      <c r="AY33" s="192"/>
      <c r="AZ33" s="26" t="s">
        <v>248</v>
      </c>
      <c r="BA33" s="26">
        <v>9</v>
      </c>
      <c r="BB33" s="26">
        <v>3</v>
      </c>
      <c r="BC33" s="120" t="s">
        <v>213</v>
      </c>
      <c r="BD33" s="12" t="str">
        <f>CONCATENATE("10.0.",TEXT(((BITWISE_AND('IP Address'!$D$20,BC$19)/4)+BB33*8),"0"),".",TEXT((BITWISE_AND('IP Address'!$D$21,BC$19)*64)+AY$24*10+BA33,"0"))</f>
        <v>10.0.26.73</v>
      </c>
      <c r="BE33" s="22"/>
      <c r="BG33" s="19"/>
      <c r="BH33" s="192"/>
      <c r="BI33" s="26" t="s">
        <v>248</v>
      </c>
      <c r="BJ33" s="26">
        <v>9</v>
      </c>
      <c r="BK33" s="26">
        <v>3</v>
      </c>
      <c r="BL33" s="120" t="s">
        <v>213</v>
      </c>
      <c r="BM33" s="12" t="str">
        <f>CONCATENATE("10.0.",TEXT(((BITWISE_AND('IP Address'!$D$20,BL$19)/4)+BK33*8),"0"),".",TEXT((BITWISE_AND('IP Address'!$D$21,BL$19)*64)+BH$24*10+BJ33,"0"))</f>
        <v>10.0.26.201</v>
      </c>
      <c r="BN33" s="22"/>
      <c r="BP33" s="19"/>
      <c r="BQ33" s="192"/>
      <c r="BR33" s="26" t="s">
        <v>248</v>
      </c>
      <c r="BS33" s="26">
        <v>9</v>
      </c>
      <c r="BT33" s="26">
        <v>3</v>
      </c>
      <c r="BU33" s="120" t="s">
        <v>213</v>
      </c>
      <c r="BV33" s="12" t="str">
        <f>CONCATENATE("10.0.",TEXT(((BITWISE_AND('IP Address'!$D$20,BU$19)/4)+BT33*8),"0"),".",TEXT((BITWISE_AND('IP Address'!$D$21,BU$19)*64)+BQ$24*10+BS33,"0"))</f>
        <v>10.0.27.9</v>
      </c>
      <c r="BW33" s="22"/>
      <c r="BX33" s="35"/>
      <c r="BY33" s="19"/>
      <c r="BZ33" s="192"/>
      <c r="CA33" s="26" t="s">
        <v>248</v>
      </c>
      <c r="CB33" s="26">
        <v>9</v>
      </c>
      <c r="CC33" s="26">
        <v>0</v>
      </c>
      <c r="CD33" s="11" t="s">
        <v>249</v>
      </c>
      <c r="CE33" s="155" t="str">
        <f>CL41</f>
        <v>10.0.63.253</v>
      </c>
      <c r="CF33" s="19"/>
      <c r="CG33" s="193"/>
      <c r="CH33" s="26" t="s">
        <v>248</v>
      </c>
      <c r="CI33" s="26">
        <v>9</v>
      </c>
      <c r="CJ33" s="26">
        <v>0</v>
      </c>
      <c r="CK33" s="11" t="s">
        <v>251</v>
      </c>
      <c r="CL33" s="155" t="str">
        <f>CE41</f>
        <v>10.0.63.251</v>
      </c>
      <c r="CM33" s="22"/>
      <c r="CN33" s="35"/>
      <c r="CO33" s="19"/>
      <c r="CP33" s="192"/>
      <c r="CQ33" s="26" t="s">
        <v>248</v>
      </c>
      <c r="CR33" s="26">
        <v>9</v>
      </c>
      <c r="CS33" s="26">
        <v>3</v>
      </c>
      <c r="CT33" s="120" t="s">
        <v>213</v>
      </c>
      <c r="CU33" s="12" t="str">
        <f>CONCATENATE("10.0.",TEXT(((BITWISE_AND('IP Address'!$D$20,CT$19)/4)+CS33*8),"0"),".",TEXT((BITWISE_AND('IP Address'!$D$21,CT$19)*64)+CP$24*10+CR33,"0"))</f>
        <v>10.0.27.137</v>
      </c>
      <c r="CV33" s="22"/>
      <c r="CX33" s="19"/>
      <c r="CY33" s="192"/>
      <c r="CZ33" s="26" t="s">
        <v>248</v>
      </c>
      <c r="DA33" s="26">
        <v>9</v>
      </c>
      <c r="DB33" s="26">
        <v>3</v>
      </c>
      <c r="DC33" s="120" t="s">
        <v>213</v>
      </c>
      <c r="DD33" s="12" t="str">
        <f>CONCATENATE("10.0.",TEXT(((BITWISE_AND('IP Address'!$D$20,DC$19)/4)+DB33*8),"0"),".",TEXT((BITWISE_AND('IP Address'!$D$21,DC$19)*64)+CY$24*10+DA33,"0"))</f>
        <v>10.0.28.9</v>
      </c>
      <c r="DE33" s="22"/>
      <c r="DG33" s="19"/>
      <c r="DH33" s="192"/>
      <c r="DI33" s="26" t="s">
        <v>248</v>
      </c>
      <c r="DJ33" s="26">
        <v>9</v>
      </c>
      <c r="DK33" s="26">
        <v>3</v>
      </c>
      <c r="DL33" s="120" t="s">
        <v>213</v>
      </c>
      <c r="DM33" s="12" t="str">
        <f>CONCATENATE("10.0.",TEXT(((BITWISE_AND('IP Address'!$D$20,DL$19)/4)+DK33*8),"0"),".",TEXT((BITWISE_AND('IP Address'!$D$21,DL$19)*64)+DH$24*10+DJ33,"0"))</f>
        <v>10.0.28.73</v>
      </c>
      <c r="DN33" s="21"/>
      <c r="DO33" s="192"/>
      <c r="DP33" s="49" t="s">
        <v>248</v>
      </c>
      <c r="DQ33" s="11">
        <v>9</v>
      </c>
      <c r="DR33" s="11">
        <v>7</v>
      </c>
      <c r="DS33" s="60" t="s">
        <v>205</v>
      </c>
      <c r="DT33" s="12" t="str">
        <f>CONCATENATE("10.0.",TEXT(((BITWISE_AND('IP Address'!$D$20,DL$19)/4)+DR33*8),"0"),".",TEXT((BITWISE_AND('IP Address'!$D$21,DL$19)*64)+DO$24*10+DQ33,"0"))</f>
        <v>10.0.60.93</v>
      </c>
      <c r="DU33" s="22"/>
    </row>
    <row r="34" spans="2:125">
      <c r="B34" s="19"/>
      <c r="C34" s="192"/>
      <c r="D34" s="79" t="s">
        <v>252</v>
      </c>
      <c r="E34" s="80" t="s">
        <v>253</v>
      </c>
      <c r="F34" s="80"/>
      <c r="G34" s="85"/>
      <c r="H34" s="86"/>
      <c r="I34" s="87"/>
      <c r="J34" s="192"/>
      <c r="K34" s="88" t="s">
        <v>252</v>
      </c>
      <c r="L34" s="89" t="s">
        <v>253</v>
      </c>
      <c r="M34" s="89"/>
      <c r="N34" s="85" t="s">
        <v>254</v>
      </c>
      <c r="O34" s="81"/>
      <c r="P34" s="21"/>
      <c r="Q34" s="4"/>
      <c r="R34" s="4"/>
      <c r="S34" s="4"/>
      <c r="T34" s="4"/>
      <c r="U34" s="4"/>
      <c r="V34" s="4"/>
      <c r="W34" s="22"/>
      <c r="X34" s="35"/>
      <c r="Y34" s="19"/>
      <c r="Z34" s="192"/>
      <c r="AA34" s="79" t="s">
        <v>252</v>
      </c>
      <c r="AB34" s="80" t="s">
        <v>253</v>
      </c>
      <c r="AC34" s="80"/>
      <c r="AD34" s="85"/>
      <c r="AE34" s="86"/>
      <c r="AF34" s="19"/>
      <c r="AG34" s="4"/>
      <c r="AH34" s="4"/>
      <c r="AI34" s="4"/>
      <c r="AJ34" s="4"/>
      <c r="AK34" s="4"/>
      <c r="AL34" s="4"/>
      <c r="AM34" s="22"/>
      <c r="AN34" s="35"/>
      <c r="AO34" s="19"/>
      <c r="AP34" s="192"/>
      <c r="AQ34" s="79" t="s">
        <v>252</v>
      </c>
      <c r="AR34" s="80" t="s">
        <v>253</v>
      </c>
      <c r="AS34" s="80"/>
      <c r="AT34" s="85" t="s">
        <v>255</v>
      </c>
      <c r="AU34" s="86"/>
      <c r="AV34" s="22"/>
      <c r="AX34" s="19"/>
      <c r="AY34" s="192"/>
      <c r="AZ34" s="79" t="s">
        <v>252</v>
      </c>
      <c r="BA34" s="80" t="s">
        <v>253</v>
      </c>
      <c r="BB34" s="80"/>
      <c r="BC34" s="85" t="s">
        <v>255</v>
      </c>
      <c r="BD34" s="86"/>
      <c r="BE34" s="22"/>
      <c r="BG34" s="19"/>
      <c r="BH34" s="192"/>
      <c r="BI34" s="79" t="s">
        <v>252</v>
      </c>
      <c r="BJ34" s="80" t="s">
        <v>253</v>
      </c>
      <c r="BK34" s="80"/>
      <c r="BL34" s="85" t="s">
        <v>255</v>
      </c>
      <c r="BM34" s="86"/>
      <c r="BN34" s="22"/>
      <c r="BP34" s="19"/>
      <c r="BQ34" s="192"/>
      <c r="BR34" s="79" t="s">
        <v>252</v>
      </c>
      <c r="BS34" s="80" t="s">
        <v>253</v>
      </c>
      <c r="BT34" s="80"/>
      <c r="BU34" s="85" t="s">
        <v>255</v>
      </c>
      <c r="BV34" s="86"/>
      <c r="BW34" s="22"/>
      <c r="BX34" s="35"/>
      <c r="BY34" s="19"/>
      <c r="BZ34" s="192"/>
      <c r="CA34" s="79" t="s">
        <v>252</v>
      </c>
      <c r="CB34" s="80" t="s">
        <v>253</v>
      </c>
      <c r="CC34" s="80"/>
      <c r="CD34" s="85" t="s">
        <v>255</v>
      </c>
      <c r="CE34" s="86"/>
      <c r="CF34" s="19"/>
      <c r="CG34" s="13"/>
      <c r="CH34" s="13"/>
      <c r="CI34" s="13"/>
      <c r="CJ34" s="13"/>
      <c r="CK34" s="13"/>
      <c r="CL34" s="13"/>
      <c r="CM34" s="22"/>
      <c r="CN34" s="35"/>
      <c r="CO34" s="19"/>
      <c r="CP34" s="192"/>
      <c r="CQ34" s="79" t="s">
        <v>252</v>
      </c>
      <c r="CR34" s="80" t="s">
        <v>253</v>
      </c>
      <c r="CS34" s="80"/>
      <c r="CT34" s="85" t="s">
        <v>255</v>
      </c>
      <c r="CU34" s="86"/>
      <c r="CV34" s="22"/>
      <c r="CX34" s="19"/>
      <c r="CY34" s="192"/>
      <c r="CZ34" s="79" t="s">
        <v>252</v>
      </c>
      <c r="DA34" s="80" t="s">
        <v>253</v>
      </c>
      <c r="DB34" s="80"/>
      <c r="DC34" s="85" t="s">
        <v>255</v>
      </c>
      <c r="DD34" s="86"/>
      <c r="DE34" s="22"/>
      <c r="DG34" s="19"/>
      <c r="DH34" s="192"/>
      <c r="DI34" s="79" t="s">
        <v>252</v>
      </c>
      <c r="DJ34" s="80" t="s">
        <v>253</v>
      </c>
      <c r="DK34" s="80"/>
      <c r="DL34" s="85" t="s">
        <v>255</v>
      </c>
      <c r="DM34" s="86"/>
      <c r="DN34" s="21"/>
      <c r="DO34" s="192"/>
      <c r="DP34" s="79" t="s">
        <v>252</v>
      </c>
      <c r="DQ34" s="80" t="s">
        <v>253</v>
      </c>
      <c r="DR34" s="80"/>
      <c r="DS34" s="85" t="s">
        <v>256</v>
      </c>
      <c r="DT34" s="86"/>
      <c r="DU34" s="22"/>
    </row>
    <row r="35" spans="2:125" ht="15.75" thickBot="1">
      <c r="B35" s="19"/>
      <c r="C35" s="192"/>
      <c r="D35" s="82" t="s">
        <v>257</v>
      </c>
      <c r="E35" s="83" t="s">
        <v>253</v>
      </c>
      <c r="F35" s="83"/>
      <c r="G35" s="90" t="s">
        <v>258</v>
      </c>
      <c r="H35" s="91"/>
      <c r="I35" s="87"/>
      <c r="J35" s="192"/>
      <c r="K35" s="92" t="s">
        <v>257</v>
      </c>
      <c r="L35" s="93" t="s">
        <v>253</v>
      </c>
      <c r="M35" s="93"/>
      <c r="N35" s="90"/>
      <c r="O35" s="84"/>
      <c r="P35" s="21"/>
      <c r="Q35" s="4"/>
      <c r="R35" s="4"/>
      <c r="S35" s="4"/>
      <c r="T35" s="4"/>
      <c r="U35" s="4"/>
      <c r="V35" s="4"/>
      <c r="W35" s="22"/>
      <c r="X35" s="35"/>
      <c r="Y35" s="19"/>
      <c r="Z35" s="192"/>
      <c r="AA35" s="82" t="s">
        <v>257</v>
      </c>
      <c r="AB35" s="83" t="s">
        <v>253</v>
      </c>
      <c r="AC35" s="83"/>
      <c r="AD35" s="90" t="s">
        <v>259</v>
      </c>
      <c r="AE35" s="91"/>
      <c r="AF35" s="19"/>
      <c r="AG35" s="4"/>
      <c r="AH35" s="4"/>
      <c r="AI35" s="4"/>
      <c r="AJ35" s="4"/>
      <c r="AK35" s="4"/>
      <c r="AL35" s="4"/>
      <c r="AM35" s="22"/>
      <c r="AN35" s="35"/>
      <c r="AO35" s="19"/>
      <c r="AP35" s="192"/>
      <c r="AQ35" s="82" t="s">
        <v>257</v>
      </c>
      <c r="AR35" s="83" t="s">
        <v>253</v>
      </c>
      <c r="AS35" s="83"/>
      <c r="AT35" s="90" t="s">
        <v>259</v>
      </c>
      <c r="AU35" s="91"/>
      <c r="AV35" s="22"/>
      <c r="AX35" s="19"/>
      <c r="AY35" s="192"/>
      <c r="AZ35" s="82" t="s">
        <v>257</v>
      </c>
      <c r="BA35" s="83" t="s">
        <v>253</v>
      </c>
      <c r="BB35" s="83"/>
      <c r="BC35" s="90" t="s">
        <v>259</v>
      </c>
      <c r="BD35" s="91"/>
      <c r="BE35" s="22"/>
      <c r="BG35" s="19"/>
      <c r="BH35" s="192"/>
      <c r="BI35" s="82" t="s">
        <v>257</v>
      </c>
      <c r="BJ35" s="83" t="s">
        <v>253</v>
      </c>
      <c r="BK35" s="83"/>
      <c r="BL35" s="90" t="s">
        <v>259</v>
      </c>
      <c r="BM35" s="91"/>
      <c r="BN35" s="22"/>
      <c r="BP35" s="19"/>
      <c r="BQ35" s="192"/>
      <c r="BR35" s="82" t="s">
        <v>257</v>
      </c>
      <c r="BS35" s="83" t="s">
        <v>253</v>
      </c>
      <c r="BT35" s="83"/>
      <c r="BU35" s="90" t="s">
        <v>259</v>
      </c>
      <c r="BV35" s="91"/>
      <c r="BW35" s="22"/>
      <c r="BX35" s="35"/>
      <c r="BY35" s="19"/>
      <c r="BZ35" s="192"/>
      <c r="CA35" s="82" t="s">
        <v>257</v>
      </c>
      <c r="CB35" s="83" t="s">
        <v>253</v>
      </c>
      <c r="CC35" s="83"/>
      <c r="CD35" s="90" t="s">
        <v>259</v>
      </c>
      <c r="CE35" s="91"/>
      <c r="CF35" s="19"/>
      <c r="CG35" s="13"/>
      <c r="CH35" s="13"/>
      <c r="CI35" s="13"/>
      <c r="CJ35" s="13"/>
      <c r="CK35" s="13"/>
      <c r="CL35" s="13"/>
      <c r="CM35" s="22"/>
      <c r="CN35" s="35"/>
      <c r="CO35" s="19"/>
      <c r="CP35" s="192"/>
      <c r="CQ35" s="82" t="s">
        <v>257</v>
      </c>
      <c r="CR35" s="83" t="s">
        <v>253</v>
      </c>
      <c r="CS35" s="83"/>
      <c r="CT35" s="90" t="s">
        <v>259</v>
      </c>
      <c r="CU35" s="91"/>
      <c r="CV35" s="22"/>
      <c r="CX35" s="19"/>
      <c r="CY35" s="192"/>
      <c r="CZ35" s="82" t="s">
        <v>257</v>
      </c>
      <c r="DA35" s="83" t="s">
        <v>253</v>
      </c>
      <c r="DB35" s="83"/>
      <c r="DC35" s="90" t="s">
        <v>259</v>
      </c>
      <c r="DD35" s="91"/>
      <c r="DE35" s="22"/>
      <c r="DG35" s="19"/>
      <c r="DH35" s="192"/>
      <c r="DI35" s="82" t="s">
        <v>257</v>
      </c>
      <c r="DJ35" s="83" t="s">
        <v>253</v>
      </c>
      <c r="DK35" s="83"/>
      <c r="DL35" s="90" t="s">
        <v>260</v>
      </c>
      <c r="DM35" s="91"/>
      <c r="DN35" s="21"/>
      <c r="DO35" s="192"/>
      <c r="DP35" s="82" t="s">
        <v>257</v>
      </c>
      <c r="DQ35" s="83" t="s">
        <v>253</v>
      </c>
      <c r="DR35" s="83"/>
      <c r="DS35" s="90"/>
      <c r="DT35" s="91"/>
      <c r="DU35" s="22"/>
    </row>
    <row r="36" spans="2:125">
      <c r="B36" s="19"/>
      <c r="C36" s="192"/>
      <c r="D36" s="79" t="s">
        <v>261</v>
      </c>
      <c r="E36" s="80" t="s">
        <v>253</v>
      </c>
      <c r="F36" s="80"/>
      <c r="G36" s="85" t="s">
        <v>262</v>
      </c>
      <c r="H36" s="86"/>
      <c r="I36" s="87"/>
      <c r="J36" s="192"/>
      <c r="K36" s="79" t="s">
        <v>261</v>
      </c>
      <c r="L36" s="89" t="s">
        <v>253</v>
      </c>
      <c r="M36" s="89"/>
      <c r="N36" s="85" t="s">
        <v>263</v>
      </c>
      <c r="O36" s="81"/>
      <c r="P36" s="21"/>
      <c r="Q36" s="4"/>
      <c r="R36" s="4"/>
      <c r="S36" s="4"/>
      <c r="T36" s="4"/>
      <c r="U36" s="4"/>
      <c r="V36" s="4"/>
      <c r="W36" s="22"/>
      <c r="X36" s="35"/>
      <c r="Y36" s="19"/>
      <c r="Z36" s="192"/>
      <c r="AA36" s="79" t="s">
        <v>261</v>
      </c>
      <c r="AB36" s="80" t="s">
        <v>253</v>
      </c>
      <c r="AC36" s="80"/>
      <c r="AD36" s="85" t="s">
        <v>262</v>
      </c>
      <c r="AE36" s="86"/>
      <c r="AF36" s="19"/>
      <c r="AG36" s="4"/>
      <c r="AH36" s="4"/>
      <c r="AI36" s="4"/>
      <c r="AJ36" s="4"/>
      <c r="AK36" s="4"/>
      <c r="AL36" s="4"/>
      <c r="AM36" s="22"/>
      <c r="AN36" s="35"/>
      <c r="AO36" s="19"/>
      <c r="AP36" s="192"/>
      <c r="AQ36" s="79" t="s">
        <v>261</v>
      </c>
      <c r="AR36" s="80" t="s">
        <v>253</v>
      </c>
      <c r="AS36" s="80"/>
      <c r="AT36" s="85" t="s">
        <v>262</v>
      </c>
      <c r="AU36" s="86"/>
      <c r="AV36" s="22"/>
      <c r="AX36" s="19"/>
      <c r="AY36" s="192"/>
      <c r="AZ36" s="79" t="s">
        <v>261</v>
      </c>
      <c r="BA36" s="80" t="s">
        <v>253</v>
      </c>
      <c r="BB36" s="80"/>
      <c r="BC36" s="85" t="s">
        <v>262</v>
      </c>
      <c r="BD36" s="86"/>
      <c r="BE36" s="22"/>
      <c r="BG36" s="19"/>
      <c r="BH36" s="192"/>
      <c r="BI36" s="79" t="s">
        <v>261</v>
      </c>
      <c r="BJ36" s="80" t="s">
        <v>253</v>
      </c>
      <c r="BK36" s="80"/>
      <c r="BL36" s="85" t="s">
        <v>262</v>
      </c>
      <c r="BM36" s="86"/>
      <c r="BN36" s="22"/>
      <c r="BP36" s="19"/>
      <c r="BQ36" s="192"/>
      <c r="BR36" s="79" t="s">
        <v>261</v>
      </c>
      <c r="BS36" s="80" t="s">
        <v>253</v>
      </c>
      <c r="BT36" s="80"/>
      <c r="BU36" s="85" t="s">
        <v>262</v>
      </c>
      <c r="BV36" s="86"/>
      <c r="BW36" s="22"/>
      <c r="BX36" s="35"/>
      <c r="BY36" s="19"/>
      <c r="BZ36" s="192"/>
      <c r="CA36" s="79" t="s">
        <v>261</v>
      </c>
      <c r="CB36" s="80" t="s">
        <v>253</v>
      </c>
      <c r="CC36" s="80"/>
      <c r="CD36" s="85" t="s">
        <v>262</v>
      </c>
      <c r="CE36" s="86"/>
      <c r="CF36" s="19"/>
      <c r="CG36" s="13"/>
      <c r="CH36" s="13"/>
      <c r="CI36" s="13"/>
      <c r="CJ36" s="13"/>
      <c r="CK36" s="13"/>
      <c r="CL36" s="13"/>
      <c r="CM36" s="22"/>
      <c r="CN36" s="35"/>
      <c r="CO36" s="19"/>
      <c r="CP36" s="192"/>
      <c r="CQ36" s="79" t="s">
        <v>261</v>
      </c>
      <c r="CR36" s="80" t="s">
        <v>253</v>
      </c>
      <c r="CS36" s="80"/>
      <c r="CT36" s="85" t="s">
        <v>262</v>
      </c>
      <c r="CU36" s="86"/>
      <c r="CV36" s="22"/>
      <c r="CX36" s="19"/>
      <c r="CY36" s="192"/>
      <c r="CZ36" s="79" t="s">
        <v>261</v>
      </c>
      <c r="DA36" s="80" t="s">
        <v>253</v>
      </c>
      <c r="DB36" s="80"/>
      <c r="DC36" s="85" t="s">
        <v>262</v>
      </c>
      <c r="DD36" s="86"/>
      <c r="DE36" s="22"/>
      <c r="DG36" s="19"/>
      <c r="DH36" s="192"/>
      <c r="DI36" s="79" t="s">
        <v>261</v>
      </c>
      <c r="DJ36" s="80" t="s">
        <v>253</v>
      </c>
      <c r="DK36" s="80"/>
      <c r="DL36" s="85" t="s">
        <v>262</v>
      </c>
      <c r="DM36" s="86"/>
      <c r="DN36" s="21"/>
      <c r="DO36" s="192"/>
      <c r="DP36" s="79" t="s">
        <v>261</v>
      </c>
      <c r="DQ36" s="80" t="s">
        <v>253</v>
      </c>
      <c r="DR36" s="80"/>
      <c r="DS36" s="85" t="s">
        <v>263</v>
      </c>
      <c r="DT36" s="86"/>
      <c r="DU36" s="22"/>
    </row>
    <row r="37" spans="2:125" ht="15.75" thickBot="1">
      <c r="B37" s="19"/>
      <c r="C37" s="193"/>
      <c r="D37" s="82" t="s">
        <v>264</v>
      </c>
      <c r="E37" s="83" t="s">
        <v>253</v>
      </c>
      <c r="F37" s="83"/>
      <c r="G37" s="90" t="s">
        <v>265</v>
      </c>
      <c r="H37" s="91"/>
      <c r="I37" s="87"/>
      <c r="J37" s="193"/>
      <c r="K37" s="82" t="s">
        <v>264</v>
      </c>
      <c r="L37" s="93" t="s">
        <v>253</v>
      </c>
      <c r="M37" s="93"/>
      <c r="N37" s="90" t="s">
        <v>266</v>
      </c>
      <c r="O37" s="84"/>
      <c r="P37" s="21"/>
      <c r="Q37" s="4"/>
      <c r="R37" s="4"/>
      <c r="S37" s="4"/>
      <c r="T37" s="4"/>
      <c r="U37" s="4"/>
      <c r="V37" s="4"/>
      <c r="W37" s="22"/>
      <c r="X37" s="35"/>
      <c r="Y37" s="19"/>
      <c r="Z37" s="193"/>
      <c r="AA37" s="82" t="s">
        <v>264</v>
      </c>
      <c r="AB37" s="83" t="s">
        <v>253</v>
      </c>
      <c r="AC37" s="83"/>
      <c r="AD37" s="90" t="s">
        <v>265</v>
      </c>
      <c r="AE37" s="91"/>
      <c r="AF37" s="19"/>
      <c r="AG37" s="4"/>
      <c r="AH37" s="4"/>
      <c r="AI37" s="4"/>
      <c r="AJ37" s="4"/>
      <c r="AK37" s="4"/>
      <c r="AL37" s="4"/>
      <c r="AM37" s="22"/>
      <c r="AN37" s="35"/>
      <c r="AO37" s="19"/>
      <c r="AP37" s="193"/>
      <c r="AQ37" s="82" t="s">
        <v>264</v>
      </c>
      <c r="AR37" s="83" t="s">
        <v>253</v>
      </c>
      <c r="AS37" s="83"/>
      <c r="AT37" s="90" t="s">
        <v>265</v>
      </c>
      <c r="AU37" s="91"/>
      <c r="AV37" s="22"/>
      <c r="AX37" s="19"/>
      <c r="AY37" s="193"/>
      <c r="AZ37" s="82" t="s">
        <v>264</v>
      </c>
      <c r="BA37" s="83" t="s">
        <v>253</v>
      </c>
      <c r="BB37" s="83"/>
      <c r="BC37" s="90" t="s">
        <v>265</v>
      </c>
      <c r="BD37" s="91"/>
      <c r="BE37" s="22"/>
      <c r="BG37" s="19"/>
      <c r="BH37" s="193"/>
      <c r="BI37" s="82" t="s">
        <v>264</v>
      </c>
      <c r="BJ37" s="83" t="s">
        <v>253</v>
      </c>
      <c r="BK37" s="83"/>
      <c r="BL37" s="90" t="s">
        <v>265</v>
      </c>
      <c r="BM37" s="91"/>
      <c r="BN37" s="22"/>
      <c r="BP37" s="19"/>
      <c r="BQ37" s="193"/>
      <c r="BR37" s="82" t="s">
        <v>264</v>
      </c>
      <c r="BS37" s="83" t="s">
        <v>253</v>
      </c>
      <c r="BT37" s="83"/>
      <c r="BU37" s="90" t="s">
        <v>265</v>
      </c>
      <c r="BV37" s="91"/>
      <c r="BW37" s="22"/>
      <c r="BX37" s="35"/>
      <c r="BY37" s="19"/>
      <c r="BZ37" s="193"/>
      <c r="CA37" s="82" t="s">
        <v>264</v>
      </c>
      <c r="CB37" s="83" t="s">
        <v>253</v>
      </c>
      <c r="CC37" s="83"/>
      <c r="CD37" s="90" t="s">
        <v>265</v>
      </c>
      <c r="CE37" s="91"/>
      <c r="CF37" s="19"/>
      <c r="CG37" s="13"/>
      <c r="CH37" s="13"/>
      <c r="CI37" s="13"/>
      <c r="CJ37" s="13"/>
      <c r="CK37" s="13"/>
      <c r="CL37" s="13"/>
      <c r="CM37" s="22"/>
      <c r="CN37" s="35"/>
      <c r="CO37" s="19"/>
      <c r="CP37" s="193"/>
      <c r="CQ37" s="82" t="s">
        <v>264</v>
      </c>
      <c r="CR37" s="83" t="s">
        <v>253</v>
      </c>
      <c r="CS37" s="83"/>
      <c r="CT37" s="90" t="s">
        <v>265</v>
      </c>
      <c r="CU37" s="91"/>
      <c r="CV37" s="22"/>
      <c r="CX37" s="19"/>
      <c r="CY37" s="193"/>
      <c r="CZ37" s="82" t="s">
        <v>264</v>
      </c>
      <c r="DA37" s="83" t="s">
        <v>253</v>
      </c>
      <c r="DB37" s="83"/>
      <c r="DC37" s="90" t="s">
        <v>265</v>
      </c>
      <c r="DD37" s="91"/>
      <c r="DE37" s="22"/>
      <c r="DG37" s="19"/>
      <c r="DH37" s="193"/>
      <c r="DI37" s="82" t="s">
        <v>264</v>
      </c>
      <c r="DJ37" s="83" t="s">
        <v>253</v>
      </c>
      <c r="DK37" s="83"/>
      <c r="DL37" s="90" t="s">
        <v>265</v>
      </c>
      <c r="DM37" s="91"/>
      <c r="DN37" s="21"/>
      <c r="DO37" s="193"/>
      <c r="DP37" s="82" t="s">
        <v>264</v>
      </c>
      <c r="DQ37" s="83" t="s">
        <v>253</v>
      </c>
      <c r="DR37" s="83"/>
      <c r="DS37" s="90" t="s">
        <v>266</v>
      </c>
      <c r="DT37" s="91"/>
      <c r="DU37" s="22"/>
    </row>
    <row r="38" spans="2:125">
      <c r="B38" s="14"/>
      <c r="C38" s="13"/>
      <c r="D38" s="13"/>
      <c r="E38" s="13"/>
      <c r="F38" s="13"/>
      <c r="G38" s="13"/>
      <c r="H38" s="13"/>
      <c r="I38" s="4"/>
      <c r="J38" s="13" t="s">
        <v>267</v>
      </c>
      <c r="K38" s="13"/>
      <c r="L38" s="13"/>
      <c r="M38" s="13"/>
      <c r="N38" s="13"/>
      <c r="O38" s="13"/>
      <c r="P38" s="4"/>
      <c r="Q38" s="13"/>
      <c r="R38" s="13"/>
      <c r="S38" s="13"/>
      <c r="T38" s="13"/>
      <c r="U38" s="13"/>
      <c r="V38" s="13"/>
      <c r="W38" s="15"/>
      <c r="X38" s="35"/>
      <c r="Y38" s="14"/>
      <c r="Z38" s="13"/>
      <c r="AA38" s="13"/>
      <c r="AB38" s="13"/>
      <c r="AC38" s="13"/>
      <c r="AD38" s="13"/>
      <c r="AE38" s="13"/>
      <c r="AF38" s="14"/>
      <c r="AG38" s="13"/>
      <c r="AH38" s="13"/>
      <c r="AI38" s="13"/>
      <c r="AJ38" s="13"/>
      <c r="AK38" s="13"/>
      <c r="AL38" s="13"/>
      <c r="AM38" s="15"/>
      <c r="AN38" s="35"/>
      <c r="AO38" s="14"/>
      <c r="AP38" s="13"/>
      <c r="AQ38" s="13"/>
      <c r="AR38" s="13"/>
      <c r="AS38" s="13"/>
      <c r="AT38" s="13"/>
      <c r="AU38" s="13"/>
      <c r="AV38" s="15"/>
      <c r="AX38" s="14"/>
      <c r="AY38" s="13"/>
      <c r="AZ38" s="13"/>
      <c r="BA38" s="13"/>
      <c r="BB38" s="13"/>
      <c r="BC38" s="13"/>
      <c r="BD38" s="13"/>
      <c r="BE38" s="15"/>
      <c r="BG38" s="14"/>
      <c r="BH38" s="13"/>
      <c r="BI38" s="13"/>
      <c r="BJ38" s="13"/>
      <c r="BK38" s="13"/>
      <c r="BL38" s="13"/>
      <c r="BM38" s="13"/>
      <c r="BN38" s="15"/>
      <c r="BP38" s="14"/>
      <c r="BQ38" s="13"/>
      <c r="BR38" s="13"/>
      <c r="BS38" s="13"/>
      <c r="BT38" s="13"/>
      <c r="BU38" s="13"/>
      <c r="BV38" s="13"/>
      <c r="BW38" s="15"/>
      <c r="BX38" s="35"/>
      <c r="BY38" s="14"/>
      <c r="BZ38" s="13"/>
      <c r="CA38" s="13"/>
      <c r="CB38" s="13"/>
      <c r="CC38" s="13"/>
      <c r="CD38" s="13"/>
      <c r="CE38" s="13"/>
      <c r="CF38" s="14"/>
      <c r="CG38" s="13"/>
      <c r="CH38" s="13"/>
      <c r="CI38" s="13"/>
      <c r="CJ38" s="13"/>
      <c r="CK38" s="13"/>
      <c r="CL38" s="13"/>
      <c r="CM38" s="15"/>
      <c r="CN38" s="35"/>
      <c r="CO38" s="14"/>
      <c r="CP38" s="13"/>
      <c r="CQ38" s="13"/>
      <c r="CR38" s="13"/>
      <c r="CS38" s="13"/>
      <c r="CT38" s="13"/>
      <c r="CU38" s="13"/>
      <c r="CV38" s="15"/>
      <c r="CX38" s="14"/>
      <c r="CY38" s="13"/>
      <c r="CZ38" s="13"/>
      <c r="DA38" s="13"/>
      <c r="DB38" s="13"/>
      <c r="DC38" s="13"/>
      <c r="DD38" s="13"/>
      <c r="DE38" s="15"/>
      <c r="DG38" s="14"/>
      <c r="DH38" s="13"/>
      <c r="DI38" s="13"/>
      <c r="DJ38" s="13"/>
      <c r="DK38" s="13"/>
      <c r="DL38" s="13"/>
      <c r="DM38" s="13"/>
      <c r="DN38" s="4"/>
      <c r="DO38" s="13"/>
      <c r="DP38" s="13"/>
      <c r="DQ38" s="13"/>
      <c r="DR38" s="13"/>
      <c r="DS38" s="13"/>
      <c r="DT38" s="13"/>
      <c r="DU38" s="15"/>
    </row>
    <row r="39" spans="2:125" ht="15.75" thickBot="1">
      <c r="B39" s="14"/>
      <c r="C39" s="23"/>
      <c r="D39" s="23"/>
      <c r="E39" s="23"/>
      <c r="F39" s="23"/>
      <c r="G39" s="23"/>
      <c r="H39" s="23"/>
      <c r="I39" s="4"/>
      <c r="J39" s="23"/>
      <c r="K39" s="23"/>
      <c r="L39" s="23"/>
      <c r="M39" s="23"/>
      <c r="N39" s="23"/>
      <c r="O39" s="23"/>
      <c r="P39" s="4"/>
      <c r="Q39" s="23"/>
      <c r="R39" s="23"/>
      <c r="S39" s="23"/>
      <c r="T39" s="23"/>
      <c r="U39" s="23"/>
      <c r="V39" s="23"/>
      <c r="W39" s="15"/>
      <c r="X39" s="35"/>
      <c r="Y39" s="14"/>
      <c r="Z39" s="23"/>
      <c r="AA39" s="23"/>
      <c r="AB39" s="23"/>
      <c r="AC39" s="23"/>
      <c r="AD39" s="23"/>
      <c r="AE39" s="23"/>
      <c r="AF39" s="14"/>
      <c r="AG39" s="4"/>
      <c r="AH39" s="4"/>
      <c r="AI39" s="4"/>
      <c r="AJ39" s="4"/>
      <c r="AK39" s="4"/>
      <c r="AL39" s="4"/>
      <c r="AM39" s="15"/>
      <c r="AN39" s="35"/>
      <c r="AO39" s="14"/>
      <c r="AP39" s="23"/>
      <c r="AQ39" s="23"/>
      <c r="AR39" s="23"/>
      <c r="AS39" s="23"/>
      <c r="AT39" s="23"/>
      <c r="AU39" s="23"/>
      <c r="AV39" s="15"/>
      <c r="AX39" s="14"/>
      <c r="AY39" s="23"/>
      <c r="AZ39" s="23"/>
      <c r="BA39" s="23"/>
      <c r="BB39" s="23"/>
      <c r="BC39" s="23"/>
      <c r="BD39" s="23"/>
      <c r="BE39" s="15"/>
      <c r="BG39" s="14"/>
      <c r="BH39" s="23"/>
      <c r="BI39" s="23"/>
      <c r="BJ39" s="23"/>
      <c r="BK39" s="23"/>
      <c r="BL39" s="23"/>
      <c r="BM39" s="23"/>
      <c r="BN39" s="15"/>
      <c r="BP39" s="14"/>
      <c r="BQ39" s="23"/>
      <c r="BR39" s="23"/>
      <c r="BS39" s="23"/>
      <c r="BT39" s="23"/>
      <c r="BU39" s="23"/>
      <c r="BV39" s="23"/>
      <c r="BW39" s="15"/>
      <c r="BX39" s="35"/>
      <c r="BY39" s="14"/>
      <c r="BZ39" s="23"/>
      <c r="CA39" s="23"/>
      <c r="CB39" s="23"/>
      <c r="CC39" s="23"/>
      <c r="CD39" s="23"/>
      <c r="CE39" s="23"/>
      <c r="CF39" s="14"/>
      <c r="CG39" s="23"/>
      <c r="CH39" s="23"/>
      <c r="CI39" s="23"/>
      <c r="CJ39" s="23"/>
      <c r="CK39" s="23"/>
      <c r="CL39" s="23"/>
      <c r="CM39" s="15"/>
      <c r="CN39" s="35"/>
      <c r="CO39" s="14"/>
      <c r="CP39" s="23"/>
      <c r="CQ39" s="23"/>
      <c r="CR39" s="23"/>
      <c r="CS39" s="23"/>
      <c r="CT39" s="23"/>
      <c r="CU39" s="23"/>
      <c r="CV39" s="15"/>
      <c r="CX39" s="14"/>
      <c r="CY39" s="23"/>
      <c r="CZ39" s="23"/>
      <c r="DA39" s="23"/>
      <c r="DB39" s="23"/>
      <c r="DC39" s="23"/>
      <c r="DD39" s="23"/>
      <c r="DE39" s="15"/>
      <c r="DG39" s="14"/>
      <c r="DH39" s="23"/>
      <c r="DI39" s="23"/>
      <c r="DJ39" s="23"/>
      <c r="DK39" s="23"/>
      <c r="DL39" s="23"/>
      <c r="DM39" s="23"/>
      <c r="DN39" s="4"/>
      <c r="DO39" s="23"/>
      <c r="DP39" s="23"/>
      <c r="DQ39" s="23"/>
      <c r="DR39" s="23"/>
      <c r="DS39" s="23"/>
      <c r="DT39" s="23"/>
      <c r="DU39" s="15"/>
    </row>
    <row r="40" spans="2:125" ht="15.75" thickBot="1">
      <c r="B40" s="19"/>
      <c r="C40" s="122" t="s">
        <v>175</v>
      </c>
      <c r="D40" s="123" t="s">
        <v>144</v>
      </c>
      <c r="E40" s="123" t="s">
        <v>176</v>
      </c>
      <c r="F40" s="123" t="s">
        <v>129</v>
      </c>
      <c r="G40" s="123" t="s">
        <v>140</v>
      </c>
      <c r="H40" s="124" t="s">
        <v>177</v>
      </c>
      <c r="I40" s="21"/>
      <c r="J40" s="122" t="s">
        <v>175</v>
      </c>
      <c r="K40" s="123" t="s">
        <v>144</v>
      </c>
      <c r="L40" s="123" t="s">
        <v>176</v>
      </c>
      <c r="M40" s="123" t="s">
        <v>129</v>
      </c>
      <c r="N40" s="123" t="s">
        <v>140</v>
      </c>
      <c r="O40" s="124" t="s">
        <v>177</v>
      </c>
      <c r="P40" s="21"/>
      <c r="Q40" s="122" t="s">
        <v>175</v>
      </c>
      <c r="R40" s="123" t="s">
        <v>144</v>
      </c>
      <c r="S40" s="123" t="s">
        <v>176</v>
      </c>
      <c r="T40" s="123" t="s">
        <v>129</v>
      </c>
      <c r="U40" s="123" t="s">
        <v>140</v>
      </c>
      <c r="V40" s="124" t="s">
        <v>177</v>
      </c>
      <c r="W40" s="22"/>
      <c r="X40" s="35"/>
      <c r="Y40" s="19"/>
      <c r="Z40" s="122" t="s">
        <v>175</v>
      </c>
      <c r="AA40" s="123" t="s">
        <v>144</v>
      </c>
      <c r="AB40" s="123" t="s">
        <v>176</v>
      </c>
      <c r="AC40" s="123" t="s">
        <v>129</v>
      </c>
      <c r="AD40" s="123" t="s">
        <v>140</v>
      </c>
      <c r="AE40" s="124" t="s">
        <v>177</v>
      </c>
      <c r="AF40" s="19"/>
      <c r="AG40" s="4"/>
      <c r="AH40" s="4"/>
      <c r="AI40" s="4"/>
      <c r="AJ40" s="4"/>
      <c r="AK40" s="4"/>
      <c r="AL40" s="4"/>
      <c r="AM40" s="22"/>
      <c r="AN40" s="35"/>
      <c r="AO40" s="19"/>
      <c r="AP40" s="122" t="s">
        <v>175</v>
      </c>
      <c r="AQ40" s="123" t="s">
        <v>144</v>
      </c>
      <c r="AR40" s="123" t="s">
        <v>176</v>
      </c>
      <c r="AS40" s="123" t="s">
        <v>129</v>
      </c>
      <c r="AT40" s="123" t="s">
        <v>140</v>
      </c>
      <c r="AU40" s="124" t="s">
        <v>177</v>
      </c>
      <c r="AV40" s="22"/>
      <c r="AX40" s="19"/>
      <c r="AY40" s="122" t="s">
        <v>175</v>
      </c>
      <c r="AZ40" s="123" t="s">
        <v>144</v>
      </c>
      <c r="BA40" s="123" t="s">
        <v>176</v>
      </c>
      <c r="BB40" s="123" t="s">
        <v>129</v>
      </c>
      <c r="BC40" s="123" t="s">
        <v>140</v>
      </c>
      <c r="BD40" s="124" t="s">
        <v>177</v>
      </c>
      <c r="BE40" s="22"/>
      <c r="BG40" s="19"/>
      <c r="BH40" s="122" t="s">
        <v>175</v>
      </c>
      <c r="BI40" s="123" t="s">
        <v>144</v>
      </c>
      <c r="BJ40" s="123" t="s">
        <v>176</v>
      </c>
      <c r="BK40" s="123" t="s">
        <v>129</v>
      </c>
      <c r="BL40" s="123" t="s">
        <v>140</v>
      </c>
      <c r="BM40" s="124" t="s">
        <v>177</v>
      </c>
      <c r="BN40" s="22"/>
      <c r="BP40" s="19"/>
      <c r="BQ40" s="122" t="s">
        <v>175</v>
      </c>
      <c r="BR40" s="123" t="s">
        <v>144</v>
      </c>
      <c r="BS40" s="123" t="s">
        <v>176</v>
      </c>
      <c r="BT40" s="123" t="s">
        <v>129</v>
      </c>
      <c r="BU40" s="123" t="s">
        <v>140</v>
      </c>
      <c r="BV40" s="124" t="s">
        <v>177</v>
      </c>
      <c r="BW40" s="22"/>
      <c r="BX40" s="35"/>
      <c r="BY40" s="19"/>
      <c r="BZ40" s="122" t="s">
        <v>175</v>
      </c>
      <c r="CA40" s="123" t="s">
        <v>144</v>
      </c>
      <c r="CB40" s="123" t="s">
        <v>176</v>
      </c>
      <c r="CC40" s="123" t="s">
        <v>129</v>
      </c>
      <c r="CD40" s="123" t="s">
        <v>140</v>
      </c>
      <c r="CE40" s="124" t="s">
        <v>177</v>
      </c>
      <c r="CF40" s="19"/>
      <c r="CG40" s="122" t="s">
        <v>175</v>
      </c>
      <c r="CH40" s="123" t="s">
        <v>144</v>
      </c>
      <c r="CI40" s="123" t="s">
        <v>176</v>
      </c>
      <c r="CJ40" s="123" t="s">
        <v>129</v>
      </c>
      <c r="CK40" s="123" t="s">
        <v>140</v>
      </c>
      <c r="CL40" s="124" t="s">
        <v>177</v>
      </c>
      <c r="CM40" s="22"/>
      <c r="CN40" s="35"/>
      <c r="CO40" s="19"/>
      <c r="CP40" s="122" t="s">
        <v>175</v>
      </c>
      <c r="CQ40" s="123" t="s">
        <v>144</v>
      </c>
      <c r="CR40" s="123" t="s">
        <v>176</v>
      </c>
      <c r="CS40" s="123" t="s">
        <v>129</v>
      </c>
      <c r="CT40" s="123" t="s">
        <v>140</v>
      </c>
      <c r="CU40" s="124" t="s">
        <v>177</v>
      </c>
      <c r="CV40" s="22"/>
      <c r="CX40" s="19"/>
      <c r="CY40" s="122" t="s">
        <v>175</v>
      </c>
      <c r="CZ40" s="123" t="s">
        <v>144</v>
      </c>
      <c r="DA40" s="123" t="s">
        <v>176</v>
      </c>
      <c r="DB40" s="123" t="s">
        <v>129</v>
      </c>
      <c r="DC40" s="123" t="s">
        <v>140</v>
      </c>
      <c r="DD40" s="124" t="s">
        <v>177</v>
      </c>
      <c r="DE40" s="22"/>
      <c r="DG40" s="19"/>
      <c r="DH40" s="122" t="s">
        <v>175</v>
      </c>
      <c r="DI40" s="123" t="s">
        <v>144</v>
      </c>
      <c r="DJ40" s="123" t="s">
        <v>176</v>
      </c>
      <c r="DK40" s="123" t="s">
        <v>129</v>
      </c>
      <c r="DL40" s="123" t="s">
        <v>140</v>
      </c>
      <c r="DM40" s="124" t="s">
        <v>177</v>
      </c>
      <c r="DN40" s="21"/>
      <c r="DO40" s="122" t="s">
        <v>175</v>
      </c>
      <c r="DP40" s="123" t="s">
        <v>144</v>
      </c>
      <c r="DQ40" s="123" t="s">
        <v>176</v>
      </c>
      <c r="DR40" s="123" t="s">
        <v>129</v>
      </c>
      <c r="DS40" s="123" t="s">
        <v>140</v>
      </c>
      <c r="DT40" s="124" t="s">
        <v>177</v>
      </c>
      <c r="DU40" s="22"/>
    </row>
    <row r="41" spans="2:125" ht="14.45" customHeight="1" thickBot="1">
      <c r="B41" s="19"/>
      <c r="C41" s="194" t="s">
        <v>178</v>
      </c>
      <c r="D41" s="195"/>
      <c r="E41" s="195"/>
      <c r="F41" s="195"/>
      <c r="G41" s="196"/>
      <c r="H41" s="125" t="s">
        <v>508</v>
      </c>
      <c r="I41" s="21"/>
      <c r="J41" s="194" t="s">
        <v>178</v>
      </c>
      <c r="K41" s="195"/>
      <c r="L41" s="195"/>
      <c r="M41" s="195"/>
      <c r="N41" s="196"/>
      <c r="O41" s="125" t="s">
        <v>512</v>
      </c>
      <c r="P41" s="21"/>
      <c r="Q41" s="194" t="s">
        <v>178</v>
      </c>
      <c r="R41" s="195"/>
      <c r="S41" s="195"/>
      <c r="T41" s="195"/>
      <c r="U41" s="196"/>
      <c r="V41" s="125" t="s">
        <v>516</v>
      </c>
      <c r="W41" s="22"/>
      <c r="X41" s="35"/>
      <c r="Y41" s="19"/>
      <c r="Z41" s="194" t="s">
        <v>178</v>
      </c>
      <c r="AA41" s="195"/>
      <c r="AB41" s="195"/>
      <c r="AC41" s="195"/>
      <c r="AD41" s="196"/>
      <c r="AE41" s="125" t="s">
        <v>508</v>
      </c>
      <c r="AF41" s="19"/>
      <c r="AG41" s="4"/>
      <c r="AH41" s="4"/>
      <c r="AI41" s="4"/>
      <c r="AJ41" s="4"/>
      <c r="AK41" s="4"/>
      <c r="AL41" s="4"/>
      <c r="AM41" s="22"/>
      <c r="AN41" s="35"/>
      <c r="AO41" s="19"/>
      <c r="AP41" s="194" t="s">
        <v>178</v>
      </c>
      <c r="AQ41" s="195"/>
      <c r="AR41" s="195"/>
      <c r="AS41" s="195"/>
      <c r="AT41" s="196"/>
      <c r="AU41" s="121" t="str">
        <f>CONCATENATE("10.0.",TEXT(((BITWISE_AND('IP Address'!$D$20,AT$19)/4)+7*8),"0"),".",TEXT((BITWISE_AND('IP Address'!$D$21,AT$19)*64)+AP42+41,"0"))</f>
        <v>10.0.56.170</v>
      </c>
      <c r="AV41" s="22"/>
      <c r="AX41" s="19"/>
      <c r="AY41" s="194" t="s">
        <v>178</v>
      </c>
      <c r="AZ41" s="195"/>
      <c r="BA41" s="195"/>
      <c r="BB41" s="195"/>
      <c r="BC41" s="196"/>
      <c r="BD41" s="121" t="str">
        <f>CONCATENATE("10.0.",TEXT(((BITWISE_AND('IP Address'!$D$20,BC$19)/4)+7*8),"0"),".",TEXT((BITWISE_AND('IP Address'!$D$21,BC$19)*64)+AY42+41,"0"))</f>
        <v>10.0.58.106</v>
      </c>
      <c r="BE41" s="22"/>
      <c r="BG41" s="19"/>
      <c r="BH41" s="194" t="s">
        <v>178</v>
      </c>
      <c r="BI41" s="195"/>
      <c r="BJ41" s="195"/>
      <c r="BK41" s="195"/>
      <c r="BL41" s="196"/>
      <c r="BM41" s="121" t="str">
        <f>CONCATENATE("10.0.",TEXT(((BITWISE_AND('IP Address'!$D$20,BL$19)/4)+7*8),"0"),".",TEXT((BITWISE_AND('IP Address'!$D$21,BL$19)*64)+BH42+41,"0"))</f>
        <v>10.0.58.234</v>
      </c>
      <c r="BN41" s="22"/>
      <c r="BP41" s="19"/>
      <c r="BQ41" s="194" t="s">
        <v>178</v>
      </c>
      <c r="BR41" s="195"/>
      <c r="BS41" s="195"/>
      <c r="BT41" s="195"/>
      <c r="BU41" s="196"/>
      <c r="BV41" s="121" t="str">
        <f>CONCATENATE("10.0.",TEXT(((BITWISE_AND('IP Address'!$D$20,BU$19)/4)+7*8),"0"),".",TEXT((BITWISE_AND('IP Address'!$D$21,BU$19)*64)+BQ42+41,"0"))</f>
        <v>10.0.59.42</v>
      </c>
      <c r="BW41" s="22"/>
      <c r="BX41" s="35"/>
      <c r="BY41" s="19"/>
      <c r="BZ41" s="194" t="s">
        <v>178</v>
      </c>
      <c r="CA41" s="195"/>
      <c r="CB41" s="195"/>
      <c r="CC41" s="195"/>
      <c r="CD41" s="196"/>
      <c r="CE41" s="125" t="s">
        <v>512</v>
      </c>
      <c r="CF41" s="19"/>
      <c r="CG41" s="194" t="s">
        <v>178</v>
      </c>
      <c r="CH41" s="195"/>
      <c r="CI41" s="195"/>
      <c r="CJ41" s="195"/>
      <c r="CK41" s="196"/>
      <c r="CL41" s="125" t="s">
        <v>516</v>
      </c>
      <c r="CM41" s="22"/>
      <c r="CN41" s="35"/>
      <c r="CO41" s="19"/>
      <c r="CP41" s="194" t="s">
        <v>178</v>
      </c>
      <c r="CQ41" s="195"/>
      <c r="CR41" s="195"/>
      <c r="CS41" s="195"/>
      <c r="CT41" s="196"/>
      <c r="CU41" s="121" t="str">
        <f>CONCATENATE("10.0.",TEXT(((BITWISE_AND('IP Address'!$D$20,CT$19)/4)+7*8),"0"),".",TEXT((BITWISE_AND('IP Address'!$D$21,CT$19)*64)+CP42+41,"0"))</f>
        <v>10.0.59.170</v>
      </c>
      <c r="CV41" s="22"/>
      <c r="CX41" s="19"/>
      <c r="CY41" s="194" t="s">
        <v>178</v>
      </c>
      <c r="CZ41" s="195"/>
      <c r="DA41" s="195"/>
      <c r="DB41" s="195"/>
      <c r="DC41" s="196"/>
      <c r="DD41" s="121" t="str">
        <f>CONCATENATE("10.0.",TEXT(((BITWISE_AND('IP Address'!$D$20,DC$19)/4)+7*8),"0"),".",TEXT((BITWISE_AND('IP Address'!$D$21,DC$19)*64)+CY42+41,"0"))</f>
        <v>10.0.60.42</v>
      </c>
      <c r="DE41" s="22"/>
      <c r="DG41" s="19"/>
      <c r="DH41" s="194" t="s">
        <v>178</v>
      </c>
      <c r="DI41" s="195"/>
      <c r="DJ41" s="195"/>
      <c r="DK41" s="195"/>
      <c r="DL41" s="196"/>
      <c r="DM41" s="121" t="str">
        <f>CONCATENATE("10.0.",TEXT(((BITWISE_AND('IP Address'!$D$20,DL$19)/4)+7*8),"0"),".",TEXT((BITWISE_AND('IP Address'!$D$21,DL$19)*64)+DH42+41,"0"))</f>
        <v>10.0.60.106</v>
      </c>
      <c r="DN41" s="21"/>
      <c r="DO41" s="194" t="s">
        <v>178</v>
      </c>
      <c r="DP41" s="195"/>
      <c r="DQ41" s="195"/>
      <c r="DR41" s="195"/>
      <c r="DS41" s="196"/>
      <c r="DT41" s="121" t="str">
        <f>CONCATENATE("10.0.",TEXT(((BITWISE_AND('IP Address'!$D$20,DL$19)/4)+7*8),"0"),".",TEXT((BITWISE_AND('IP Address'!$D$21,DL$19)*64)+DO42+41,"0"))</f>
        <v>10.0.60.108</v>
      </c>
      <c r="DU41" s="22"/>
    </row>
    <row r="42" spans="2:125" ht="14.45" customHeight="1" thickBot="1">
      <c r="B42" s="19"/>
      <c r="C42" s="44">
        <v>1</v>
      </c>
      <c r="D42" s="37" t="s">
        <v>179</v>
      </c>
      <c r="E42" s="43">
        <v>0</v>
      </c>
      <c r="F42" s="43">
        <v>1</v>
      </c>
      <c r="G42" s="38" t="s">
        <v>268</v>
      </c>
      <c r="H42" s="39" t="str">
        <f>CONCATENATE("10.0.",TEXT(((BITWISE_AND('IP Address'!$D$20,G$19)/4)+F42*8),"0"),".",TEXT((BITWISE_AND('IP Address'!$D$21,G$19)*64)+C$42*10+E42,"0"))</f>
        <v>10.0.8.74</v>
      </c>
      <c r="I42" s="21"/>
      <c r="J42" s="44">
        <v>3</v>
      </c>
      <c r="K42" s="27" t="s">
        <v>179</v>
      </c>
      <c r="L42" s="27">
        <v>0</v>
      </c>
      <c r="M42" s="27">
        <v>1</v>
      </c>
      <c r="N42" s="3" t="s">
        <v>269</v>
      </c>
      <c r="O42" s="39" t="str">
        <f>CONCATENATE("10.0.",TEXT(((BITWISE_AND('IP Address'!$D$20,N$19)/4)+M42*8),"0"),".",TEXT((BITWISE_AND('IP Address'!$D$21,G$19)*64)+J$42*10+L42,"0"))</f>
        <v>10.0.8.94</v>
      </c>
      <c r="P42" s="21"/>
      <c r="Q42" s="50">
        <v>5</v>
      </c>
      <c r="R42" s="37" t="s">
        <v>179</v>
      </c>
      <c r="S42" s="38">
        <v>0</v>
      </c>
      <c r="T42" s="38">
        <v>3</v>
      </c>
      <c r="U42" s="118" t="s">
        <v>270</v>
      </c>
      <c r="V42" s="39" t="str">
        <f>CONCATENATE("10.0.",TEXT(((BITWISE_AND('IP Address'!$D$20,G$19)/4)+T42*8),"0"),".",TEXT((BITWISE_AND('IP Address'!$D$21,G$19)*64)+Q$42*10+S42,"0"))</f>
        <v>10.0.24.114</v>
      </c>
      <c r="W42" s="22"/>
      <c r="X42" s="35"/>
      <c r="Y42" s="19"/>
      <c r="Z42" s="44">
        <v>1</v>
      </c>
      <c r="AA42" s="27" t="s">
        <v>179</v>
      </c>
      <c r="AB42" s="27">
        <v>0</v>
      </c>
      <c r="AC42" s="27">
        <v>2</v>
      </c>
      <c r="AD42" s="34" t="s">
        <v>271</v>
      </c>
      <c r="AE42" s="136" t="str">
        <f>CONCATENATE("10.0.",TEXT(((BITWISE_AND('IP Address'!$D$20,AD$19)/4)+AC42*8),"0"),".",TEXT((BITWISE_AND('IP Address'!$D$21,AD$19)*64)+Z$42*10+AB42,"0"))</f>
        <v>10.0.16.74</v>
      </c>
      <c r="AF42" s="19"/>
      <c r="AG42" s="4"/>
      <c r="AH42" s="4"/>
      <c r="AI42" s="4"/>
      <c r="AJ42" s="4"/>
      <c r="AK42" s="4"/>
      <c r="AL42" s="4"/>
      <c r="AM42" s="22"/>
      <c r="AN42" s="35"/>
      <c r="AO42" s="19"/>
      <c r="AP42" s="44">
        <v>1</v>
      </c>
      <c r="AQ42" s="27" t="s">
        <v>179</v>
      </c>
      <c r="AR42" s="27">
        <v>0</v>
      </c>
      <c r="AS42" s="27">
        <v>2</v>
      </c>
      <c r="AT42" s="34" t="s">
        <v>271</v>
      </c>
      <c r="AU42" s="136" t="str">
        <f>CONCATENATE("10.0.",TEXT(((BITWISE_AND('IP Address'!$D$20,AT$19)/4)+AS42*8),"0"),".",TEXT((BITWISE_AND('IP Address'!$D$21,AT$19)*64)+AP$42*10+AR42,"0"))</f>
        <v>10.0.16.138</v>
      </c>
      <c r="AV42" s="22"/>
      <c r="AX42" s="19"/>
      <c r="AY42" s="44">
        <v>1</v>
      </c>
      <c r="AZ42" s="27" t="s">
        <v>179</v>
      </c>
      <c r="BA42" s="27">
        <v>0</v>
      </c>
      <c r="BB42" s="27">
        <v>2</v>
      </c>
      <c r="BC42" s="3" t="s">
        <v>271</v>
      </c>
      <c r="BD42" s="136" t="str">
        <f>CONCATENATE("10.0.",TEXT(((BITWISE_AND('IP Address'!$D$20,BC$19)/4)+BB42*8),"0"),".",TEXT((BITWISE_AND('IP Address'!$D$21,BC$19)*64)+AY$42*10+BA42,"0"))</f>
        <v>10.0.18.74</v>
      </c>
      <c r="BE42" s="22"/>
      <c r="BG42" s="19"/>
      <c r="BH42" s="44">
        <v>1</v>
      </c>
      <c r="BI42" s="27" t="s">
        <v>179</v>
      </c>
      <c r="BJ42" s="27">
        <v>0</v>
      </c>
      <c r="BK42" s="27">
        <v>2</v>
      </c>
      <c r="BL42" s="34" t="s">
        <v>271</v>
      </c>
      <c r="BM42" s="136" t="str">
        <f>CONCATENATE("10.0.",TEXT(((BITWISE_AND('IP Address'!$D$20,BL$19)/4)+BK42*8),"0"),".",TEXT((BITWISE_AND('IP Address'!$D$21,BL$19)*64)+BH$42*10+BJ42,"0"))</f>
        <v>10.0.18.202</v>
      </c>
      <c r="BN42" s="22"/>
      <c r="BP42" s="19"/>
      <c r="BQ42" s="44">
        <v>1</v>
      </c>
      <c r="BR42" s="27" t="s">
        <v>179</v>
      </c>
      <c r="BS42" s="27">
        <v>0</v>
      </c>
      <c r="BT42" s="27">
        <v>2</v>
      </c>
      <c r="BU42" s="34" t="s">
        <v>271</v>
      </c>
      <c r="BV42" s="136" t="str">
        <f>CONCATENATE("10.0.",TEXT(((BITWISE_AND('IP Address'!$D$20,BU$19)/4)+BT42*8),"0"),".",TEXT((BITWISE_AND('IP Address'!$D$21,BU$19)*64)+BQ$42*10+BS42,"0"))</f>
        <v>10.0.19.10</v>
      </c>
      <c r="BW42" s="22"/>
      <c r="BX42" s="35"/>
      <c r="BY42" s="19"/>
      <c r="BZ42" s="44">
        <v>1</v>
      </c>
      <c r="CA42" s="27" t="s">
        <v>179</v>
      </c>
      <c r="CB42" s="27">
        <v>0</v>
      </c>
      <c r="CC42" s="27">
        <v>2</v>
      </c>
      <c r="CD42" s="3" t="s">
        <v>271</v>
      </c>
      <c r="CE42" s="136" t="str">
        <f>CONCATENATE("10.0.",TEXT(((BITWISE_AND('IP Address'!$D$20,CD$19)/4)+CC42*8),"0"),".",TEXT((BITWISE_AND('IP Address'!$D$21,CD$19)*64)+BZ$42*10+CB42,"0"))</f>
        <v>10.0.19.74</v>
      </c>
      <c r="CF42" s="19"/>
      <c r="CG42" s="44">
        <v>3</v>
      </c>
      <c r="CH42" s="27" t="s">
        <v>179</v>
      </c>
      <c r="CI42" s="27">
        <v>0</v>
      </c>
      <c r="CJ42" s="27">
        <v>6</v>
      </c>
      <c r="CK42" s="33" t="s">
        <v>272</v>
      </c>
      <c r="CL42" s="39" t="str">
        <f>CONCATENATE("10.0.",TEXT(((BITWISE_AND('IP Address'!$D$20,CD$19)/4)+CJ42*8),"0"),".",TEXT((BITWISE_AND('IP Address'!$D$21,CD$19)*64)+CG$42*10+CI42,"0"))</f>
        <v>10.0.51.94</v>
      </c>
      <c r="CM42" s="22"/>
      <c r="CN42" s="35"/>
      <c r="CO42" s="19"/>
      <c r="CP42" s="44">
        <v>1</v>
      </c>
      <c r="CQ42" s="27" t="s">
        <v>179</v>
      </c>
      <c r="CR42" s="27">
        <v>0</v>
      </c>
      <c r="CS42" s="27">
        <v>2</v>
      </c>
      <c r="CT42" s="34" t="s">
        <v>271</v>
      </c>
      <c r="CU42" s="136" t="str">
        <f>CONCATENATE("10.0.",TEXT(((BITWISE_AND('IP Address'!$D$20,CT$19)/4)+CS42*8),"0"),".",TEXT((BITWISE_AND('IP Address'!$D$21,CT$19)*64)+CP$42*10+CR42,"0"))</f>
        <v>10.0.19.138</v>
      </c>
      <c r="CV42" s="22"/>
      <c r="CX42" s="19"/>
      <c r="CY42" s="44">
        <v>1</v>
      </c>
      <c r="CZ42" s="27" t="s">
        <v>179</v>
      </c>
      <c r="DA42" s="27">
        <v>0</v>
      </c>
      <c r="DB42" s="27">
        <v>2</v>
      </c>
      <c r="DC42" s="34" t="s">
        <v>271</v>
      </c>
      <c r="DD42" s="136" t="str">
        <f>CONCATENATE("10.0.",TEXT(((BITWISE_AND('IP Address'!$D$20,DC$19)/4)+DB42*8),"0"),".",TEXT((BITWISE_AND('IP Address'!$D$21,DC$19)*64)+CY$42*10+DA42,"0"))</f>
        <v>10.0.20.10</v>
      </c>
      <c r="DE42" s="22"/>
      <c r="DG42" s="19"/>
      <c r="DH42" s="44">
        <v>1</v>
      </c>
      <c r="DI42" s="27" t="s">
        <v>179</v>
      </c>
      <c r="DJ42" s="27">
        <v>0</v>
      </c>
      <c r="DK42" s="27">
        <v>2</v>
      </c>
      <c r="DL42" s="34" t="s">
        <v>273</v>
      </c>
      <c r="DM42" s="39" t="str">
        <f>CONCATENATE("10.0.",TEXT(((BITWISE_AND('IP Address'!$D$20,DL$19)/4)+DK42*8),"0"),".",TEXT((BITWISE_AND('IP Address'!$D$21,DL$19)*64)+DH$42*10+DJ42,"0"))</f>
        <v>10.0.20.74</v>
      </c>
      <c r="DN42" s="21"/>
      <c r="DO42" s="44">
        <v>3</v>
      </c>
      <c r="DP42" s="37" t="s">
        <v>179</v>
      </c>
      <c r="DQ42" s="38">
        <v>0</v>
      </c>
      <c r="DR42" s="38">
        <v>2</v>
      </c>
      <c r="DS42" s="51" t="s">
        <v>274</v>
      </c>
      <c r="DT42" s="39" t="str">
        <f>CONCATENATE("10.0.",TEXT(((BITWISE_AND('IP Address'!$D$20,DL$19)/4)+DR42*8),"0"),".",TEXT((BITWISE_AND('IP Address'!$D$21,DL$19)*64)+DO$42*10+DQ42,"0"))</f>
        <v>10.0.20.94</v>
      </c>
      <c r="DU42" s="22"/>
    </row>
    <row r="43" spans="2:125" ht="15" customHeight="1">
      <c r="B43" s="19"/>
      <c r="C43" s="191" t="s">
        <v>275</v>
      </c>
      <c r="D43" s="40" t="s">
        <v>188</v>
      </c>
      <c r="E43" s="24">
        <v>1</v>
      </c>
      <c r="F43" s="24">
        <v>1</v>
      </c>
      <c r="G43" s="1" t="s">
        <v>276</v>
      </c>
      <c r="H43" s="8" t="str">
        <f>CONCATENATE("10.0.",TEXT(((BITWISE_AND('IP Address'!$D$20,G$19)/4)+F43*8),"0"),".",TEXT((BITWISE_AND('IP Address'!$D$21,G$19)*64)+C$42*10+E43,"0"))</f>
        <v>10.0.8.75</v>
      </c>
      <c r="I43" s="21"/>
      <c r="J43" s="191" t="s">
        <v>277</v>
      </c>
      <c r="K43" s="24" t="s">
        <v>188</v>
      </c>
      <c r="L43" s="24">
        <v>1</v>
      </c>
      <c r="M43" s="24">
        <v>5</v>
      </c>
      <c r="N43" s="119" t="s">
        <v>278</v>
      </c>
      <c r="O43" s="8" t="str">
        <f>CONCATENATE("10.0.",TEXT(((BITWISE_AND('IP Address'!$D$20,N$19)/4)+M43*8),"0"),".",TEXT((BITWISE_AND('IP Address'!$D$21,G$19)*64)+J$42*10+L43,"0"))</f>
        <v>10.0.40.95</v>
      </c>
      <c r="P43" s="21"/>
      <c r="Q43" s="200" t="s">
        <v>279</v>
      </c>
      <c r="R43" s="40" t="s">
        <v>188</v>
      </c>
      <c r="S43" s="1">
        <v>1</v>
      </c>
      <c r="T43" s="1">
        <v>7</v>
      </c>
      <c r="U43" s="1" t="s">
        <v>207</v>
      </c>
      <c r="V43" s="9" t="str">
        <f>CONCATENATE("10.0.",TEXT(((BITWISE_AND('IP Address'!$D$20,G$19)/4)+T43*8),"0"),".",TEXT((BITWISE_AND('IP Address'!$D$21,G$19)*64)+Q$42*10+S43,"0"))</f>
        <v>10.0.56.115</v>
      </c>
      <c r="W43" s="22"/>
      <c r="X43" s="35"/>
      <c r="Y43" s="19"/>
      <c r="Z43" s="191" t="s">
        <v>275</v>
      </c>
      <c r="AA43" s="24" t="s">
        <v>188</v>
      </c>
      <c r="AB43" s="24">
        <v>1</v>
      </c>
      <c r="AC43" s="24">
        <v>3</v>
      </c>
      <c r="AD43" s="32" t="s">
        <v>280</v>
      </c>
      <c r="AE43" s="8" t="str">
        <f>CONCATENATE("10.0.",TEXT(((BITWISE_AND('IP Address'!$D$20,AD$19)/4)+AC43*8),"0"),".",TEXT((BITWISE_AND('IP Address'!$D$21,AD$19)*64)+Z$42*10+AB43,"0"))</f>
        <v>10.0.24.75</v>
      </c>
      <c r="AF43" s="19"/>
      <c r="AG43" s="4"/>
      <c r="AH43" s="4"/>
      <c r="AI43" s="4"/>
      <c r="AJ43" s="4"/>
      <c r="AK43" s="4"/>
      <c r="AL43" s="4"/>
      <c r="AM43" s="22"/>
      <c r="AN43" s="35"/>
      <c r="AO43" s="19"/>
      <c r="AP43" s="191" t="s">
        <v>275</v>
      </c>
      <c r="AQ43" s="24" t="s">
        <v>188</v>
      </c>
      <c r="AR43" s="24">
        <v>1</v>
      </c>
      <c r="AS43" s="24">
        <v>3</v>
      </c>
      <c r="AT43" s="32" t="s">
        <v>280</v>
      </c>
      <c r="AU43" s="8" t="str">
        <f>CONCATENATE("10.0.",TEXT(((BITWISE_AND('IP Address'!$D$20,AT$19)/4)+AS43*8),"0"),".",TEXT((BITWISE_AND('IP Address'!$D$21,AT$19)*64)+AP$42*10+AR43,"0"))</f>
        <v>10.0.24.139</v>
      </c>
      <c r="AV43" s="22"/>
      <c r="AX43" s="19"/>
      <c r="AY43" s="191" t="s">
        <v>275</v>
      </c>
      <c r="AZ43" s="24" t="s">
        <v>188</v>
      </c>
      <c r="BA43" s="24">
        <v>1</v>
      </c>
      <c r="BB43" s="24">
        <v>3</v>
      </c>
      <c r="BC43" s="32" t="s">
        <v>280</v>
      </c>
      <c r="BD43" s="8" t="str">
        <f>CONCATENATE("10.0.",TEXT(((BITWISE_AND('IP Address'!$D$20,BC$19)/4)+BB43*8),"0"),".",TEXT((BITWISE_AND('IP Address'!$D$21,BC$19)*64)+AY$42*10+BA43,"0"))</f>
        <v>10.0.26.75</v>
      </c>
      <c r="BE43" s="22"/>
      <c r="BG43" s="19"/>
      <c r="BH43" s="191" t="s">
        <v>275</v>
      </c>
      <c r="BI43" s="24" t="s">
        <v>188</v>
      </c>
      <c r="BJ43" s="24">
        <v>1</v>
      </c>
      <c r="BK43" s="24">
        <v>7</v>
      </c>
      <c r="BL43" s="31"/>
      <c r="BM43" s="8" t="str">
        <f>CONCATENATE("10.0.",TEXT(((BITWISE_AND('IP Address'!$D$20,BL$19)/4)+BK43*8),"0"),".",TEXT((BITWISE_AND('IP Address'!$D$21,BL$19)*64)+BH$42*10+BJ43,"0"))</f>
        <v>10.0.58.203</v>
      </c>
      <c r="BN43" s="22"/>
      <c r="BP43" s="19"/>
      <c r="BQ43" s="191" t="s">
        <v>275</v>
      </c>
      <c r="BR43" s="24" t="s">
        <v>188</v>
      </c>
      <c r="BS43" s="24">
        <v>1</v>
      </c>
      <c r="BT43" s="24">
        <v>3</v>
      </c>
      <c r="BU43" s="32" t="s">
        <v>280</v>
      </c>
      <c r="BV43" s="8" t="str">
        <f>CONCATENATE("10.0.",TEXT(((BITWISE_AND('IP Address'!$D$20,BU$19)/4)+BT43*8),"0"),".",TEXT((BITWISE_AND('IP Address'!$D$21,BU$19)*64)+BQ$42*10+BS43,"0"))</f>
        <v>10.0.27.11</v>
      </c>
      <c r="BW43" s="22"/>
      <c r="BX43" s="35"/>
      <c r="BY43" s="19"/>
      <c r="BZ43" s="191" t="s">
        <v>275</v>
      </c>
      <c r="CA43" s="24" t="s">
        <v>188</v>
      </c>
      <c r="CB43" s="24">
        <v>1</v>
      </c>
      <c r="CC43" s="24">
        <v>3</v>
      </c>
      <c r="CD43" s="32" t="s">
        <v>280</v>
      </c>
      <c r="CE43" s="8" t="str">
        <f>CONCATENATE("10.0.",TEXT(((BITWISE_AND('IP Address'!$D$20,CD$19)/4)+CC43*8),"0"),".",TEXT((BITWISE_AND('IP Address'!$D$21,CD$19)*64)+BZ$42*10+CB43,"0"))</f>
        <v>10.0.27.75</v>
      </c>
      <c r="CF43" s="19"/>
      <c r="CG43" s="192" t="s">
        <v>281</v>
      </c>
      <c r="CH43" s="24" t="s">
        <v>188</v>
      </c>
      <c r="CI43" s="24">
        <v>1</v>
      </c>
      <c r="CJ43" s="24">
        <v>3</v>
      </c>
      <c r="CK43" s="33" t="s">
        <v>282</v>
      </c>
      <c r="CL43" s="8" t="str">
        <f>CONCATENATE("10.0.",TEXT(((BITWISE_AND('IP Address'!$D$20,CD$19)/4)+CJ43*8),"0"),".",TEXT((BITWISE_AND('IP Address'!$D$21,CD$19)*64)+CG$42*10+CI43,"0"))</f>
        <v>10.0.27.95</v>
      </c>
      <c r="CM43" s="22"/>
      <c r="CN43" s="35"/>
      <c r="CO43" s="19"/>
      <c r="CP43" s="191" t="s">
        <v>275</v>
      </c>
      <c r="CQ43" s="24" t="s">
        <v>188</v>
      </c>
      <c r="CR43" s="24">
        <v>1</v>
      </c>
      <c r="CS43" s="24">
        <v>3</v>
      </c>
      <c r="CT43" s="32" t="s">
        <v>280</v>
      </c>
      <c r="CU43" s="8" t="str">
        <f>CONCATENATE("10.0.",TEXT(((BITWISE_AND('IP Address'!$D$20,CT$19)/4)+CS43*8),"0"),".",TEXT((BITWISE_AND('IP Address'!$D$21,CT$19)*64)+CP$42*10+CR43,"0"))</f>
        <v>10.0.27.139</v>
      </c>
      <c r="CV43" s="22"/>
      <c r="CX43" s="19"/>
      <c r="CY43" s="191" t="s">
        <v>275</v>
      </c>
      <c r="CZ43" s="24" t="s">
        <v>188</v>
      </c>
      <c r="DA43" s="24">
        <v>1</v>
      </c>
      <c r="DB43" s="24">
        <v>3</v>
      </c>
      <c r="DC43" s="32" t="s">
        <v>280</v>
      </c>
      <c r="DD43" s="8" t="str">
        <f>CONCATENATE("10.0.",TEXT(((BITWISE_AND('IP Address'!$D$20,DC$19)/4)+DB43*8),"0"),".",TEXT((BITWISE_AND('IP Address'!$D$21,DC$19)*64)+CY$42*10+DA43,"0"))</f>
        <v>10.0.28.11</v>
      </c>
      <c r="DE43" s="22"/>
      <c r="DG43" s="19"/>
      <c r="DH43" s="191" t="s">
        <v>275</v>
      </c>
      <c r="DI43" s="24" t="s">
        <v>188</v>
      </c>
      <c r="DJ43" s="24">
        <v>1</v>
      </c>
      <c r="DK43" s="24">
        <v>1</v>
      </c>
      <c r="DL43" s="32" t="s">
        <v>283</v>
      </c>
      <c r="DM43" s="8" t="str">
        <f>CONCATENATE("10.0.",TEXT(((BITWISE_AND('IP Address'!$D$20,DL$19)/4)+DK43*8),"0"),".",TEXT((BITWISE_AND('IP Address'!$D$21,DL$19)*64)+DH$42*10+DJ43,"0"))</f>
        <v>10.0.12.75</v>
      </c>
      <c r="DN43" s="21"/>
      <c r="DO43" s="208" t="s">
        <v>277</v>
      </c>
      <c r="DP43" s="40" t="s">
        <v>188</v>
      </c>
      <c r="DQ43" s="1">
        <v>1</v>
      </c>
      <c r="DR43" s="1">
        <v>1</v>
      </c>
      <c r="DS43" s="1" t="s">
        <v>284</v>
      </c>
      <c r="DT43" s="9" t="str">
        <f>CONCATENATE("10.0.",TEXT(((BITWISE_AND('IP Address'!$D$20,DL$19)/4)+DR43*8),"0"),".",TEXT((BITWISE_AND('IP Address'!$D$21,DL$19)*64)+DO$42*10+DQ43,"0"))</f>
        <v>10.0.12.95</v>
      </c>
      <c r="DU43" s="22"/>
    </row>
    <row r="44" spans="2:125">
      <c r="B44" s="19"/>
      <c r="C44" s="192"/>
      <c r="D44" s="40" t="s">
        <v>201</v>
      </c>
      <c r="E44" s="24">
        <v>2</v>
      </c>
      <c r="F44" s="25">
        <v>0</v>
      </c>
      <c r="G44" s="33" t="s">
        <v>285</v>
      </c>
      <c r="H44" s="125" t="s">
        <v>286</v>
      </c>
      <c r="I44" s="21"/>
      <c r="J44" s="192"/>
      <c r="K44" s="24" t="s">
        <v>201</v>
      </c>
      <c r="L44" s="24">
        <v>2</v>
      </c>
      <c r="M44" s="24">
        <v>5</v>
      </c>
      <c r="N44" s="33" t="s">
        <v>287</v>
      </c>
      <c r="O44" s="8" t="str">
        <f>CONCATENATE("10.0.",TEXT(((BITWISE_AND('IP Address'!$D$20,N$19)/4)+M44*8),"0"),".",TEXT((BITWISE_AND('IP Address'!$D$21,G$19)*64)+J$42*10+L44,"0"))</f>
        <v>10.0.40.96</v>
      </c>
      <c r="P44" s="21"/>
      <c r="Q44" s="200"/>
      <c r="R44" s="40" t="s">
        <v>201</v>
      </c>
      <c r="S44" s="1">
        <v>2</v>
      </c>
      <c r="T44" s="1">
        <v>3</v>
      </c>
      <c r="U44" s="1" t="s">
        <v>288</v>
      </c>
      <c r="V44" s="9" t="str">
        <f>CONCATENATE("10.0.",TEXT(((BITWISE_AND('IP Address'!$D$20,G$19)/4)+T44*8),"0"),".",TEXT((BITWISE_AND('IP Address'!$D$21,G$19)*64)+Q$42*10+S44,"0"))</f>
        <v>10.0.24.116</v>
      </c>
      <c r="W44" s="22"/>
      <c r="X44" s="35"/>
      <c r="Y44" s="19"/>
      <c r="Z44" s="192"/>
      <c r="AA44" s="24" t="s">
        <v>201</v>
      </c>
      <c r="AB44" s="24">
        <v>2</v>
      </c>
      <c r="AC44" s="24">
        <v>3</v>
      </c>
      <c r="AD44" s="32" t="s">
        <v>289</v>
      </c>
      <c r="AE44" s="8" t="str">
        <f>CONCATENATE("10.0.",TEXT(((BITWISE_AND('IP Address'!$D$20,AD$19)/4)+AC44*8),"0"),".",TEXT((BITWISE_AND('IP Address'!$D$21,AD$19)*64)+Z$42*10+AB44,"0"))</f>
        <v>10.0.24.76</v>
      </c>
      <c r="AF44" s="19"/>
      <c r="AG44" s="4"/>
      <c r="AH44" s="4"/>
      <c r="AI44" s="4"/>
      <c r="AJ44" s="4"/>
      <c r="AK44" s="4"/>
      <c r="AL44" s="4"/>
      <c r="AM44" s="22"/>
      <c r="AN44" s="35"/>
      <c r="AO44" s="19"/>
      <c r="AP44" s="192"/>
      <c r="AQ44" s="24" t="s">
        <v>201</v>
      </c>
      <c r="AR44" s="24">
        <v>2</v>
      </c>
      <c r="AS44" s="24">
        <v>3</v>
      </c>
      <c r="AT44" s="32" t="s">
        <v>289</v>
      </c>
      <c r="AU44" s="8" t="str">
        <f>CONCATENATE("10.0.",TEXT(((BITWISE_AND('IP Address'!$D$20,AT$19)/4)+AS44*8),"0"),".",TEXT((BITWISE_AND('IP Address'!$D$21,AT$19)*64)+AP$42*10+AR44,"0"))</f>
        <v>10.0.24.140</v>
      </c>
      <c r="AV44" s="22"/>
      <c r="AX44" s="19"/>
      <c r="AY44" s="192"/>
      <c r="AZ44" s="24" t="s">
        <v>201</v>
      </c>
      <c r="BA44" s="24">
        <v>2</v>
      </c>
      <c r="BB44" s="24">
        <v>7</v>
      </c>
      <c r="BC44" s="1"/>
      <c r="BD44" s="8" t="str">
        <f>CONCATENATE("10.0.",TEXT(((BITWISE_AND('IP Address'!$D$20,BC$19)/4)+BB44*8),"0"),".",TEXT((BITWISE_AND('IP Address'!$D$21,BC$19)*64)+AY$42*10+BA44,"0"))</f>
        <v>10.0.58.76</v>
      </c>
      <c r="BE44" s="22"/>
      <c r="BG44" s="19"/>
      <c r="BH44" s="192"/>
      <c r="BI44" s="24" t="s">
        <v>201</v>
      </c>
      <c r="BJ44" s="24">
        <v>2</v>
      </c>
      <c r="BK44" s="24">
        <v>7</v>
      </c>
      <c r="BL44" s="32"/>
      <c r="BM44" s="8" t="str">
        <f>CONCATENATE("10.0.",TEXT(((BITWISE_AND('IP Address'!$D$20,BL$19)/4)+BK44*8),"0"),".",TEXT((BITWISE_AND('IP Address'!$D$21,BL$19)*64)+BH$42*10+BJ44,"0"))</f>
        <v>10.0.58.204</v>
      </c>
      <c r="BN44" s="22"/>
      <c r="BP44" s="19"/>
      <c r="BQ44" s="192"/>
      <c r="BR44" s="24" t="s">
        <v>201</v>
      </c>
      <c r="BS44" s="24">
        <v>2</v>
      </c>
      <c r="BT44" s="24">
        <v>3</v>
      </c>
      <c r="BU44" s="32" t="s">
        <v>289</v>
      </c>
      <c r="BV44" s="8" t="str">
        <f>CONCATENATE("10.0.",TEXT(((BITWISE_AND('IP Address'!$D$20,BU$19)/4)+BT44*8),"0"),".",TEXT((BITWISE_AND('IP Address'!$D$21,BU$19)*64)+BQ$42*10+BS44,"0"))</f>
        <v>10.0.27.12</v>
      </c>
      <c r="BW44" s="22"/>
      <c r="BX44" s="35"/>
      <c r="BY44" s="19"/>
      <c r="BZ44" s="192"/>
      <c r="CA44" s="24" t="s">
        <v>201</v>
      </c>
      <c r="CB44" s="24">
        <v>2</v>
      </c>
      <c r="CC44" s="24">
        <v>3</v>
      </c>
      <c r="CD44" s="32" t="s">
        <v>289</v>
      </c>
      <c r="CE44" s="8" t="str">
        <f>CONCATENATE("10.0.",TEXT(((BITWISE_AND('IP Address'!$D$20,CD$19)/4)+CC44*8),"0"),".",TEXT((BITWISE_AND('IP Address'!$D$21,CD$19)*64)+BZ$42*10+CB44,"0"))</f>
        <v>10.0.27.76</v>
      </c>
      <c r="CF44" s="19"/>
      <c r="CG44" s="192"/>
      <c r="CH44" s="24" t="s">
        <v>201</v>
      </c>
      <c r="CI44" s="24">
        <v>2</v>
      </c>
      <c r="CJ44" s="24">
        <v>5</v>
      </c>
      <c r="CK44" s="32" t="s">
        <v>290</v>
      </c>
      <c r="CL44" s="8" t="str">
        <f>CONCATENATE("10.0.",TEXT(((BITWISE_AND('IP Address'!$D$20,CD$19)/4)+CJ44*8),"0"),".",TEXT((BITWISE_AND('IP Address'!$D$21,CD$19)*64)+CG$42*10+CI44,"0"))</f>
        <v>10.0.43.96</v>
      </c>
      <c r="CM44" s="22"/>
      <c r="CN44" s="35"/>
      <c r="CO44" s="19"/>
      <c r="CP44" s="192"/>
      <c r="CQ44" s="24" t="s">
        <v>201</v>
      </c>
      <c r="CR44" s="24">
        <v>2</v>
      </c>
      <c r="CS44" s="24">
        <v>3</v>
      </c>
      <c r="CT44" s="32" t="s">
        <v>291</v>
      </c>
      <c r="CU44" s="8" t="str">
        <f>CONCATENATE("10.0.",TEXT(((BITWISE_AND('IP Address'!$D$20,CT$19)/4)+CS44*8),"0"),".",TEXT((BITWISE_AND('IP Address'!$D$21,CT$19)*64)+CP$42*10+CR44,"0"))</f>
        <v>10.0.27.140</v>
      </c>
      <c r="CV44" s="22"/>
      <c r="CX44" s="19"/>
      <c r="CY44" s="192"/>
      <c r="CZ44" s="24" t="s">
        <v>201</v>
      </c>
      <c r="DA44" s="24">
        <v>2</v>
      </c>
      <c r="DB44" s="24">
        <v>3</v>
      </c>
      <c r="DC44" s="32" t="s">
        <v>289</v>
      </c>
      <c r="DD44" s="8" t="str">
        <f>CONCATENATE("10.0.",TEXT(((BITWISE_AND('IP Address'!$D$20,DC$19)/4)+DB44*8),"0"),".",TEXT((BITWISE_AND('IP Address'!$D$21,DC$19)*64)+CY$42*10+DA44,"0"))</f>
        <v>10.0.28.12</v>
      </c>
      <c r="DE44" s="22"/>
      <c r="DG44" s="19"/>
      <c r="DH44" s="192"/>
      <c r="DI44" s="24" t="s">
        <v>201</v>
      </c>
      <c r="DJ44" s="24">
        <v>2</v>
      </c>
      <c r="DK44" s="24">
        <v>3</v>
      </c>
      <c r="DL44" s="32" t="s">
        <v>289</v>
      </c>
      <c r="DM44" s="8" t="str">
        <f>CONCATENATE("10.0.",TEXT(((BITWISE_AND('IP Address'!$D$20,DL$19)/4)+DK44*8),"0"),".",TEXT((BITWISE_AND('IP Address'!$D$21,DL$19)*64)+DH$42*10+DJ44,"0"))</f>
        <v>10.0.28.76</v>
      </c>
      <c r="DN44" s="21"/>
      <c r="DO44" s="209"/>
      <c r="DP44" s="40" t="s">
        <v>201</v>
      </c>
      <c r="DQ44" s="1">
        <v>2</v>
      </c>
      <c r="DR44" s="1">
        <v>2</v>
      </c>
      <c r="DS44" s="32" t="s">
        <v>271</v>
      </c>
      <c r="DT44" s="137" t="str">
        <f>CONCATENATE("10.0.",TEXT(((BITWISE_AND('IP Address'!$D$20,DL$19)/4)+DR44*8),"0"),".",TEXT((BITWISE_AND('IP Address'!$D$21,DL$19)*64)+DO$42*10+DQ44,"0"))</f>
        <v>10.0.20.96</v>
      </c>
      <c r="DU44" s="22"/>
    </row>
    <row r="45" spans="2:125">
      <c r="B45" s="19"/>
      <c r="C45" s="192"/>
      <c r="D45" s="40" t="s">
        <v>210</v>
      </c>
      <c r="E45" s="24">
        <v>3</v>
      </c>
      <c r="F45" s="24">
        <v>2</v>
      </c>
      <c r="G45" s="33" t="s">
        <v>273</v>
      </c>
      <c r="H45" s="8" t="str">
        <f>CONCATENATE("10.0.",TEXT(((BITWISE_AND('IP Address'!$D$20,G$19)/4)+F45*8),"0"),".",TEXT((BITWISE_AND('IP Address'!$D$21,G$19)*64)+C$42*10+E45,"0"))</f>
        <v>10.0.16.77</v>
      </c>
      <c r="I45" s="21"/>
      <c r="J45" s="192"/>
      <c r="K45" s="24" t="s">
        <v>210</v>
      </c>
      <c r="L45" s="24">
        <v>3</v>
      </c>
      <c r="M45" s="24">
        <v>5</v>
      </c>
      <c r="N45" s="33" t="s">
        <v>292</v>
      </c>
      <c r="O45" s="8" t="str">
        <f>CONCATENATE("10.0.",TEXT(((BITWISE_AND('IP Address'!$D$20,N$19)/4)+M45*8),"0"),".",TEXT((BITWISE_AND('IP Address'!$D$21,G$19)*64)+J$42*10+L45,"0"))</f>
        <v>10.0.40.97</v>
      </c>
      <c r="P45" s="21"/>
      <c r="Q45" s="200"/>
      <c r="R45" s="40" t="s">
        <v>210</v>
      </c>
      <c r="S45" s="1">
        <v>3</v>
      </c>
      <c r="T45" s="1">
        <v>3</v>
      </c>
      <c r="U45" s="1" t="s">
        <v>293</v>
      </c>
      <c r="V45" s="9" t="str">
        <f>CONCATENATE("10.0.",TEXT(((BITWISE_AND('IP Address'!$D$20,G$19)/4)+T45*8),"0"),".",TEXT((BITWISE_AND('IP Address'!$D$21,G$19)*64)+Q$42*10+S45,"0"))</f>
        <v>10.0.24.117</v>
      </c>
      <c r="W45" s="22"/>
      <c r="X45" s="35"/>
      <c r="Y45" s="19"/>
      <c r="Z45" s="192"/>
      <c r="AA45" s="24" t="s">
        <v>210</v>
      </c>
      <c r="AB45" s="24">
        <v>3</v>
      </c>
      <c r="AC45" s="24">
        <v>3</v>
      </c>
      <c r="AD45" s="32" t="s">
        <v>294</v>
      </c>
      <c r="AE45" s="8" t="str">
        <f>CONCATENATE("10.0.",TEXT(((BITWISE_AND('IP Address'!$D$20,AD$19)/4)+AC45*8),"0"),".",TEXT((BITWISE_AND('IP Address'!$D$21,AD$19)*64)+Z$42*10+AB45,"0"))</f>
        <v>10.0.24.77</v>
      </c>
      <c r="AF45" s="19"/>
      <c r="AG45" s="4"/>
      <c r="AH45" s="4"/>
      <c r="AI45" s="4"/>
      <c r="AJ45" s="4"/>
      <c r="AK45" s="4"/>
      <c r="AL45" s="4"/>
      <c r="AM45" s="22"/>
      <c r="AN45" s="35"/>
      <c r="AO45" s="19"/>
      <c r="AP45" s="192"/>
      <c r="AQ45" s="24" t="s">
        <v>210</v>
      </c>
      <c r="AR45" s="24">
        <v>3</v>
      </c>
      <c r="AS45" s="24">
        <v>3</v>
      </c>
      <c r="AT45" s="32" t="s">
        <v>294</v>
      </c>
      <c r="AU45" s="8" t="str">
        <f>CONCATENATE("10.0.",TEXT(((BITWISE_AND('IP Address'!$D$20,AT$19)/4)+AS45*8),"0"),".",TEXT((BITWISE_AND('IP Address'!$D$21,AT$19)*64)+AP$42*10+AR45,"0"))</f>
        <v>10.0.24.141</v>
      </c>
      <c r="AV45" s="22"/>
      <c r="AX45" s="19"/>
      <c r="AY45" s="192"/>
      <c r="AZ45" s="24" t="s">
        <v>210</v>
      </c>
      <c r="BA45" s="24">
        <v>3</v>
      </c>
      <c r="BB45" s="24">
        <v>3</v>
      </c>
      <c r="BC45" s="32" t="s">
        <v>294</v>
      </c>
      <c r="BD45" s="8" t="str">
        <f>CONCATENATE("10.0.",TEXT(((BITWISE_AND('IP Address'!$D$20,BC$19)/4)+BB45*8),"0"),".",TEXT((BITWISE_AND('IP Address'!$D$21,BC$19)*64)+AY$42*10+BA45,"0"))</f>
        <v>10.0.26.77</v>
      </c>
      <c r="BE45" s="22"/>
      <c r="BG45" s="19"/>
      <c r="BH45" s="192"/>
      <c r="BI45" s="24" t="s">
        <v>210</v>
      </c>
      <c r="BJ45" s="24">
        <v>3</v>
      </c>
      <c r="BK45" s="24">
        <v>3</v>
      </c>
      <c r="BL45" s="32" t="s">
        <v>294</v>
      </c>
      <c r="BM45" s="8" t="str">
        <f>CONCATENATE("10.0.",TEXT(((BITWISE_AND('IP Address'!$D$20,BL$19)/4)+BK45*8),"0"),".",TEXT((BITWISE_AND('IP Address'!$D$21,BL$19)*64)+BH$42*10+BJ45,"0"))</f>
        <v>10.0.26.205</v>
      </c>
      <c r="BN45" s="22"/>
      <c r="BP45" s="19"/>
      <c r="BQ45" s="192"/>
      <c r="BR45" s="24" t="s">
        <v>210</v>
      </c>
      <c r="BS45" s="24">
        <v>3</v>
      </c>
      <c r="BT45" s="24">
        <v>3</v>
      </c>
      <c r="BU45" s="32" t="s">
        <v>294</v>
      </c>
      <c r="BV45" s="8" t="str">
        <f>CONCATENATE("10.0.",TEXT(((BITWISE_AND('IP Address'!$D$20,BU$19)/4)+BT45*8),"0"),".",TEXT((BITWISE_AND('IP Address'!$D$21,BU$19)*64)+BQ$42*10+BS45,"0"))</f>
        <v>10.0.27.13</v>
      </c>
      <c r="BW45" s="22"/>
      <c r="BX45" s="35"/>
      <c r="BY45" s="19"/>
      <c r="BZ45" s="192"/>
      <c r="CA45" s="24" t="s">
        <v>210</v>
      </c>
      <c r="CB45" s="24">
        <v>3</v>
      </c>
      <c r="CC45" s="24">
        <v>3</v>
      </c>
      <c r="CD45" s="32" t="s">
        <v>294</v>
      </c>
      <c r="CE45" s="8" t="str">
        <f>CONCATENATE("10.0.",TEXT(((BITWISE_AND('IP Address'!$D$20,CD$19)/4)+CC45*8),"0"),".",TEXT((BITWISE_AND('IP Address'!$D$21,CD$19)*64)+BZ$42*10+CB45,"0"))</f>
        <v>10.0.27.77</v>
      </c>
      <c r="CF45" s="19"/>
      <c r="CG45" s="192"/>
      <c r="CH45" s="24" t="s">
        <v>210</v>
      </c>
      <c r="CI45" s="24">
        <v>3</v>
      </c>
      <c r="CJ45" s="24">
        <v>7</v>
      </c>
      <c r="CK45" s="31"/>
      <c r="CL45" s="8" t="str">
        <f>CONCATENATE("10.0.",TEXT(((BITWISE_AND('IP Address'!$D$20,CD$19)/4)+CJ45*8),"0"),".",TEXT((BITWISE_AND('IP Address'!$D$21,CD$19)*64)+CG$42*10+CI45,"0"))</f>
        <v>10.0.59.97</v>
      </c>
      <c r="CM45" s="22"/>
      <c r="CN45" s="35"/>
      <c r="CO45" s="19"/>
      <c r="CP45" s="192"/>
      <c r="CQ45" s="24" t="s">
        <v>210</v>
      </c>
      <c r="CR45" s="24">
        <v>3</v>
      </c>
      <c r="CS45" s="24">
        <v>3</v>
      </c>
      <c r="CT45" s="32" t="s">
        <v>294</v>
      </c>
      <c r="CU45" s="8" t="str">
        <f>CONCATENATE("10.0.",TEXT(((BITWISE_AND('IP Address'!$D$20,CT$19)/4)+CS45*8),"0"),".",TEXT((BITWISE_AND('IP Address'!$D$21,CT$19)*64)+CP$42*10+CR45,"0"))</f>
        <v>10.0.27.141</v>
      </c>
      <c r="CV45" s="22"/>
      <c r="CX45" s="19"/>
      <c r="CY45" s="192"/>
      <c r="CZ45" s="24" t="s">
        <v>210</v>
      </c>
      <c r="DA45" s="24">
        <v>3</v>
      </c>
      <c r="DB45" s="24">
        <v>3</v>
      </c>
      <c r="DC45" s="32" t="s">
        <v>294</v>
      </c>
      <c r="DD45" s="8" t="str">
        <f>CONCATENATE("10.0.",TEXT(((BITWISE_AND('IP Address'!$D$20,DC$19)/4)+DB45*8),"0"),".",TEXT((BITWISE_AND('IP Address'!$D$21,DC$19)*64)+CY$42*10+DA45,"0"))</f>
        <v>10.0.28.13</v>
      </c>
      <c r="DE45" s="22"/>
      <c r="DG45" s="19"/>
      <c r="DH45" s="192"/>
      <c r="DI45" s="24" t="s">
        <v>210</v>
      </c>
      <c r="DJ45" s="24">
        <v>3</v>
      </c>
      <c r="DK45" s="24">
        <v>3</v>
      </c>
      <c r="DL45" s="32" t="s">
        <v>294</v>
      </c>
      <c r="DM45" s="8" t="str">
        <f>CONCATENATE("10.0.",TEXT(((BITWISE_AND('IP Address'!$D$20,DL$19)/4)+DK45*8),"0"),".",TEXT((BITWISE_AND('IP Address'!$D$21,DL$19)*64)+DH$42*10+DJ45,"0"))</f>
        <v>10.0.28.77</v>
      </c>
      <c r="DN45" s="21"/>
      <c r="DO45" s="209"/>
      <c r="DP45" s="40" t="s">
        <v>210</v>
      </c>
      <c r="DQ45" s="1">
        <v>3</v>
      </c>
      <c r="DR45" s="1">
        <v>3</v>
      </c>
      <c r="DS45" s="32" t="s">
        <v>295</v>
      </c>
      <c r="DT45" s="9" t="str">
        <f>CONCATENATE("10.0.",TEXT(((BITWISE_AND('IP Address'!$D$20,DL$19)/4)+DR45*8),"0"),".",TEXT((BITWISE_AND('IP Address'!$D$21,DL$19)*64)+DO$42*10+DQ45,"0"))</f>
        <v>10.0.28.97</v>
      </c>
      <c r="DU45" s="22"/>
    </row>
    <row r="46" spans="2:125">
      <c r="B46" s="19"/>
      <c r="C46" s="192"/>
      <c r="D46" s="40" t="s">
        <v>215</v>
      </c>
      <c r="E46" s="24">
        <v>4</v>
      </c>
      <c r="F46" s="24">
        <v>2</v>
      </c>
      <c r="G46" s="33" t="s">
        <v>274</v>
      </c>
      <c r="H46" s="8" t="str">
        <f>CONCATENATE("10.0.",TEXT(((BITWISE_AND('IP Address'!$D$20,G$19)/4)+F46*8),"0"),".",TEXT((BITWISE_AND('IP Address'!$D$21,G$19)*64)+C$42*10+E46,"0"))</f>
        <v>10.0.16.78</v>
      </c>
      <c r="I46" s="21"/>
      <c r="J46" s="192"/>
      <c r="K46" s="24" t="s">
        <v>215</v>
      </c>
      <c r="L46" s="24">
        <v>4</v>
      </c>
      <c r="M46" s="24">
        <v>5</v>
      </c>
      <c r="N46" s="33" t="s">
        <v>296</v>
      </c>
      <c r="O46" s="8" t="str">
        <f>CONCATENATE("10.0.",TEXT(((BITWISE_AND('IP Address'!$D$20,N$19)/4)+M46*8),"0"),".",TEXT((BITWISE_AND('IP Address'!$D$21,G$19)*64)+J$42*10+L46,"0"))</f>
        <v>10.0.40.98</v>
      </c>
      <c r="P46" s="21"/>
      <c r="Q46" s="200"/>
      <c r="R46" s="40" t="s">
        <v>215</v>
      </c>
      <c r="S46" s="1">
        <v>4</v>
      </c>
      <c r="T46" s="1">
        <v>3</v>
      </c>
      <c r="U46" s="33" t="s">
        <v>297</v>
      </c>
      <c r="V46" s="9" t="str">
        <f>CONCATENATE("10.0.",TEXT(((BITWISE_AND('IP Address'!$D$20,G$19)/4)+T46*8),"0"),".",TEXT((BITWISE_AND('IP Address'!$D$21,G$19)*64)+Q$42*10+S46,"0"))</f>
        <v>10.0.24.118</v>
      </c>
      <c r="W46" s="22"/>
      <c r="X46" s="35"/>
      <c r="Y46" s="19"/>
      <c r="Z46" s="192"/>
      <c r="AA46" s="24" t="s">
        <v>215</v>
      </c>
      <c r="AB46" s="24">
        <v>4</v>
      </c>
      <c r="AC46" s="24">
        <v>5</v>
      </c>
      <c r="AD46" s="32" t="s">
        <v>298</v>
      </c>
      <c r="AE46" s="8" t="str">
        <f>CONCATENATE("10.0.",TEXT(((BITWISE_AND('IP Address'!$D$20,AD$19)/4)+AC46*8),"0"),".",TEXT((BITWISE_AND('IP Address'!$D$21,AD$19)*64)+Z$42*10+AB46,"0"))</f>
        <v>10.0.40.78</v>
      </c>
      <c r="AF46" s="19"/>
      <c r="AG46" s="4"/>
      <c r="AH46" s="4"/>
      <c r="AI46" s="4"/>
      <c r="AJ46" s="4"/>
      <c r="AK46" s="4"/>
      <c r="AL46" s="4"/>
      <c r="AM46" s="22"/>
      <c r="AN46" s="35"/>
      <c r="AO46" s="19"/>
      <c r="AP46" s="192"/>
      <c r="AQ46" s="24" t="s">
        <v>215</v>
      </c>
      <c r="AR46" s="24">
        <v>4</v>
      </c>
      <c r="AS46" s="24">
        <v>5</v>
      </c>
      <c r="AT46" s="32" t="s">
        <v>298</v>
      </c>
      <c r="AU46" s="8" t="str">
        <f>CONCATENATE("10.0.",TEXT(((BITWISE_AND('IP Address'!$D$20,AT$19)/4)+AS46*8),"0"),".",TEXT((BITWISE_AND('IP Address'!$D$21,AT$19)*64)+AP$42*10+AR46,"0"))</f>
        <v>10.0.40.142</v>
      </c>
      <c r="AV46" s="22"/>
      <c r="AX46" s="19"/>
      <c r="AY46" s="192"/>
      <c r="AZ46" s="24" t="s">
        <v>215</v>
      </c>
      <c r="BA46" s="24">
        <v>4</v>
      </c>
      <c r="BB46" s="24">
        <v>5</v>
      </c>
      <c r="BC46" s="32" t="s">
        <v>298</v>
      </c>
      <c r="BD46" s="8" t="str">
        <f>CONCATENATE("10.0.",TEXT(((BITWISE_AND('IP Address'!$D$20,BC$19)/4)+BB46*8),"0"),".",TEXT((BITWISE_AND('IP Address'!$D$21,BC$19)*64)+AY$42*10+BA46,"0"))</f>
        <v>10.0.42.78</v>
      </c>
      <c r="BE46" s="22"/>
      <c r="BG46" s="19"/>
      <c r="BH46" s="192"/>
      <c r="BI46" s="24" t="s">
        <v>215</v>
      </c>
      <c r="BJ46" s="24">
        <v>4</v>
      </c>
      <c r="BK46" s="24">
        <v>5</v>
      </c>
      <c r="BL46" s="32" t="s">
        <v>298</v>
      </c>
      <c r="BM46" s="8" t="str">
        <f>CONCATENATE("10.0.",TEXT(((BITWISE_AND('IP Address'!$D$20,BL$19)/4)+BK46*8),"0"),".",TEXT((BITWISE_AND('IP Address'!$D$21,BL$19)*64)+BH$42*10+BJ46,"0"))</f>
        <v>10.0.42.206</v>
      </c>
      <c r="BN46" s="22"/>
      <c r="BP46" s="19"/>
      <c r="BQ46" s="192"/>
      <c r="BR46" s="24" t="s">
        <v>215</v>
      </c>
      <c r="BS46" s="24">
        <v>4</v>
      </c>
      <c r="BT46" s="24">
        <v>5</v>
      </c>
      <c r="BU46" s="32" t="s">
        <v>298</v>
      </c>
      <c r="BV46" s="8" t="str">
        <f>CONCATENATE("10.0.",TEXT(((BITWISE_AND('IP Address'!$D$20,BU$19)/4)+BT46*8),"0"),".",TEXT((BITWISE_AND('IP Address'!$D$21,BU$19)*64)+BQ$42*10+BS46,"0"))</f>
        <v>10.0.43.14</v>
      </c>
      <c r="BW46" s="22"/>
      <c r="BX46" s="35"/>
      <c r="BY46" s="19"/>
      <c r="BZ46" s="192"/>
      <c r="CA46" s="24" t="s">
        <v>215</v>
      </c>
      <c r="CB46" s="24">
        <v>4</v>
      </c>
      <c r="CC46" s="24">
        <v>5</v>
      </c>
      <c r="CD46" s="32" t="s">
        <v>298</v>
      </c>
      <c r="CE46" s="8" t="str">
        <f>CONCATENATE("10.0.",TEXT(((BITWISE_AND('IP Address'!$D$20,CD$19)/4)+CC46*8),"0"),".",TEXT((BITWISE_AND('IP Address'!$D$21,CD$19)*64)+BZ$42*10+CB46,"0"))</f>
        <v>10.0.43.78</v>
      </c>
      <c r="CF46" s="19"/>
      <c r="CG46" s="192"/>
      <c r="CH46" s="24" t="s">
        <v>215</v>
      </c>
      <c r="CI46" s="24">
        <v>4</v>
      </c>
      <c r="CJ46" s="24">
        <v>5</v>
      </c>
      <c r="CK46" s="32" t="s">
        <v>299</v>
      </c>
      <c r="CL46" s="8" t="str">
        <f>CONCATENATE("10.0.",TEXT(((BITWISE_AND('IP Address'!$D$20,CD$19)/4)+CJ46*8),"0"),".",TEXT((BITWISE_AND('IP Address'!$D$21,CD$19)*64)+CG$42*10+CI46,"0"))</f>
        <v>10.0.43.98</v>
      </c>
      <c r="CM46" s="22"/>
      <c r="CN46" s="35"/>
      <c r="CO46" s="19"/>
      <c r="CP46" s="192"/>
      <c r="CQ46" s="24" t="s">
        <v>215</v>
      </c>
      <c r="CR46" s="24">
        <v>4</v>
      </c>
      <c r="CS46" s="24">
        <v>5</v>
      </c>
      <c r="CT46" s="32" t="s">
        <v>298</v>
      </c>
      <c r="CU46" s="8" t="str">
        <f>CONCATENATE("10.0.",TEXT(((BITWISE_AND('IP Address'!$D$20,CT$19)/4)+CS46*8),"0"),".",TEXT((BITWISE_AND('IP Address'!$D$21,CT$19)*64)+CP$42*10+CR46,"0"))</f>
        <v>10.0.43.142</v>
      </c>
      <c r="CV46" s="22"/>
      <c r="CX46" s="19"/>
      <c r="CY46" s="192"/>
      <c r="CZ46" s="24" t="s">
        <v>215</v>
      </c>
      <c r="DA46" s="24">
        <v>4</v>
      </c>
      <c r="DB46" s="24">
        <v>5</v>
      </c>
      <c r="DC46" s="32" t="s">
        <v>298</v>
      </c>
      <c r="DD46" s="8" t="str">
        <f>CONCATENATE("10.0.",TEXT(((BITWISE_AND('IP Address'!$D$20,DC$19)/4)+DB46*8),"0"),".",TEXT((BITWISE_AND('IP Address'!$D$21,DC$19)*64)+CY$42*10+DA46,"0"))</f>
        <v>10.0.44.14</v>
      </c>
      <c r="DE46" s="22"/>
      <c r="DG46" s="19"/>
      <c r="DH46" s="192"/>
      <c r="DI46" s="24" t="s">
        <v>215</v>
      </c>
      <c r="DJ46" s="24">
        <v>4</v>
      </c>
      <c r="DK46" s="24">
        <v>5</v>
      </c>
      <c r="DL46" s="32" t="s">
        <v>298</v>
      </c>
      <c r="DM46" s="8" t="str">
        <f>CONCATENATE("10.0.",TEXT(((BITWISE_AND('IP Address'!$D$20,DL$19)/4)+DK46*8),"0"),".",TEXT((BITWISE_AND('IP Address'!$D$21,DL$19)*64)+DH$42*10+DJ46,"0"))</f>
        <v>10.0.44.78</v>
      </c>
      <c r="DN46" s="21"/>
      <c r="DO46" s="209"/>
      <c r="DP46" s="40" t="s">
        <v>215</v>
      </c>
      <c r="DQ46" s="1">
        <v>4</v>
      </c>
      <c r="DR46" s="1">
        <v>1</v>
      </c>
      <c r="DS46" s="32" t="s">
        <v>300</v>
      </c>
      <c r="DT46" s="9" t="str">
        <f>CONCATENATE("10.0.",TEXT(((BITWISE_AND('IP Address'!$D$20,DL$19)/4)+DR46*8),"0"),".",TEXT((BITWISE_AND('IP Address'!$D$21,DL$19)*64)+DO$42*10+DQ46,"0"))</f>
        <v>10.0.12.98</v>
      </c>
      <c r="DU46" s="22"/>
    </row>
    <row r="47" spans="2:125">
      <c r="B47" s="19"/>
      <c r="C47" s="192"/>
      <c r="D47" s="40" t="s">
        <v>221</v>
      </c>
      <c r="E47" s="24">
        <v>5</v>
      </c>
      <c r="F47" s="24">
        <v>4</v>
      </c>
      <c r="G47" s="33" t="s">
        <v>184</v>
      </c>
      <c r="H47" s="161" t="s">
        <v>557</v>
      </c>
      <c r="I47" s="21"/>
      <c r="J47" s="192"/>
      <c r="K47" s="24" t="s">
        <v>221</v>
      </c>
      <c r="L47" s="24">
        <v>5</v>
      </c>
      <c r="M47" s="24">
        <v>1</v>
      </c>
      <c r="N47" s="1" t="s">
        <v>301</v>
      </c>
      <c r="O47" s="8" t="str">
        <f>CONCATENATE("10.0.",TEXT(((BITWISE_AND('IP Address'!$D$20,N$19)/4)+M47*8),"0"),".",TEXT((BITWISE_AND('IP Address'!$D$21,G$19)*64)+J$42*10+L47,"0"))</f>
        <v>10.0.8.99</v>
      </c>
      <c r="P47" s="21"/>
      <c r="Q47" s="200"/>
      <c r="R47" s="40" t="s">
        <v>221</v>
      </c>
      <c r="S47" s="1">
        <v>5</v>
      </c>
      <c r="T47" s="1">
        <v>3</v>
      </c>
      <c r="U47" s="1" t="s">
        <v>302</v>
      </c>
      <c r="V47" s="9" t="str">
        <f>CONCATENATE("10.0.",TEXT(((BITWISE_AND('IP Address'!$D$20,G$19)/4)+T47*8),"0"),".",TEXT((BITWISE_AND('IP Address'!$D$21,G$19)*64)+Q$42*10+S47,"0"))</f>
        <v>10.0.24.119</v>
      </c>
      <c r="W47" s="22"/>
      <c r="X47" s="35"/>
      <c r="Y47" s="19"/>
      <c r="Z47" s="192"/>
      <c r="AA47" s="24" t="s">
        <v>221</v>
      </c>
      <c r="AB47" s="24">
        <v>5</v>
      </c>
      <c r="AC47" s="24">
        <v>5</v>
      </c>
      <c r="AD47" s="32" t="s">
        <v>303</v>
      </c>
      <c r="AE47" s="8" t="str">
        <f>CONCATENATE("10.0.",TEXT(((BITWISE_AND('IP Address'!$D$20,AD$19)/4)+AC47*8),"0"),".",TEXT((BITWISE_AND('IP Address'!$D$21,AD$19)*64)+Z$42*10+AB47,"0"))</f>
        <v>10.0.40.79</v>
      </c>
      <c r="AF47" s="19"/>
      <c r="AG47" s="4"/>
      <c r="AH47" s="4"/>
      <c r="AI47" s="4"/>
      <c r="AJ47" s="4"/>
      <c r="AK47" s="4"/>
      <c r="AL47" s="4"/>
      <c r="AM47" s="22"/>
      <c r="AN47" s="35"/>
      <c r="AO47" s="19"/>
      <c r="AP47" s="192"/>
      <c r="AQ47" s="24" t="s">
        <v>221</v>
      </c>
      <c r="AR47" s="24">
        <v>5</v>
      </c>
      <c r="AS47" s="24">
        <v>5</v>
      </c>
      <c r="AT47" s="32" t="s">
        <v>303</v>
      </c>
      <c r="AU47" s="8" t="str">
        <f>CONCATENATE("10.0.",TEXT(((BITWISE_AND('IP Address'!$D$20,AT$19)/4)+AS47*8),"0"),".",TEXT((BITWISE_AND('IP Address'!$D$21,AT$19)*64)+AP$42*10+AR47,"0"))</f>
        <v>10.0.40.143</v>
      </c>
      <c r="AV47" s="22"/>
      <c r="AX47" s="19"/>
      <c r="AY47" s="192"/>
      <c r="AZ47" s="24" t="s">
        <v>221</v>
      </c>
      <c r="BA47" s="24">
        <v>5</v>
      </c>
      <c r="BB47" s="24">
        <v>5</v>
      </c>
      <c r="BC47" s="32" t="s">
        <v>303</v>
      </c>
      <c r="BD47" s="8" t="str">
        <f>CONCATENATE("10.0.",TEXT(((BITWISE_AND('IP Address'!$D$20,BC$19)/4)+BB47*8),"0"),".",TEXT((BITWISE_AND('IP Address'!$D$21,BC$19)*64)+AY$42*10+BA47,"0"))</f>
        <v>10.0.42.79</v>
      </c>
      <c r="BE47" s="22"/>
      <c r="BG47" s="19"/>
      <c r="BH47" s="192"/>
      <c r="BI47" s="24" t="s">
        <v>221</v>
      </c>
      <c r="BJ47" s="24">
        <v>5</v>
      </c>
      <c r="BK47" s="24">
        <v>5</v>
      </c>
      <c r="BL47" s="32" t="s">
        <v>303</v>
      </c>
      <c r="BM47" s="8" t="str">
        <f>CONCATENATE("10.0.",TEXT(((BITWISE_AND('IP Address'!$D$20,BL$19)/4)+BK47*8),"0"),".",TEXT((BITWISE_AND('IP Address'!$D$21,BL$19)*64)+BH$42*10+BJ47,"0"))</f>
        <v>10.0.42.207</v>
      </c>
      <c r="BN47" s="22"/>
      <c r="BP47" s="19"/>
      <c r="BQ47" s="192"/>
      <c r="BR47" s="24" t="s">
        <v>221</v>
      </c>
      <c r="BS47" s="24">
        <v>5</v>
      </c>
      <c r="BT47" s="24">
        <v>5</v>
      </c>
      <c r="BU47" s="32" t="s">
        <v>303</v>
      </c>
      <c r="BV47" s="8" t="str">
        <f>CONCATENATE("10.0.",TEXT(((BITWISE_AND('IP Address'!$D$20,BU$19)/4)+BT47*8),"0"),".",TEXT((BITWISE_AND('IP Address'!$D$21,BU$19)*64)+BQ$42*10+BS47,"0"))</f>
        <v>10.0.43.15</v>
      </c>
      <c r="BW47" s="22"/>
      <c r="BX47" s="35"/>
      <c r="BY47" s="19"/>
      <c r="BZ47" s="192"/>
      <c r="CA47" s="24" t="s">
        <v>221</v>
      </c>
      <c r="CB47" s="24">
        <v>5</v>
      </c>
      <c r="CC47" s="24">
        <v>5</v>
      </c>
      <c r="CD47" s="32" t="s">
        <v>303</v>
      </c>
      <c r="CE47" s="8" t="str">
        <f>CONCATENATE("10.0.",TEXT(((BITWISE_AND('IP Address'!$D$20,CD$19)/4)+CC47*8),"0"),".",TEXT((BITWISE_AND('IP Address'!$D$21,CD$19)*64)+BZ$42*10+CB47,"0"))</f>
        <v>10.0.43.79</v>
      </c>
      <c r="CF47" s="19"/>
      <c r="CG47" s="192"/>
      <c r="CH47" s="24" t="s">
        <v>221</v>
      </c>
      <c r="CI47" s="24">
        <v>5</v>
      </c>
      <c r="CJ47" s="24">
        <v>5</v>
      </c>
      <c r="CK47" s="32" t="s">
        <v>304</v>
      </c>
      <c r="CL47" s="8" t="str">
        <f>CONCATENATE("10.0.",TEXT(((BITWISE_AND('IP Address'!$D$20,CD$19)/4)+CJ47*8),"0"),".",TEXT((BITWISE_AND('IP Address'!$D$21,CD$19)*64)+CG$42*10+CI47,"0"))</f>
        <v>10.0.43.99</v>
      </c>
      <c r="CM47" s="22"/>
      <c r="CN47" s="35"/>
      <c r="CO47" s="19"/>
      <c r="CP47" s="192"/>
      <c r="CQ47" s="24" t="s">
        <v>221</v>
      </c>
      <c r="CR47" s="24">
        <v>5</v>
      </c>
      <c r="CS47" s="24">
        <v>5</v>
      </c>
      <c r="CT47" s="32" t="s">
        <v>303</v>
      </c>
      <c r="CU47" s="8" t="str">
        <f>CONCATENATE("10.0.",TEXT(((BITWISE_AND('IP Address'!$D$20,CT$19)/4)+CS47*8),"0"),".",TEXT((BITWISE_AND('IP Address'!$D$21,CT$19)*64)+CP$42*10+CR47,"0"))</f>
        <v>10.0.43.143</v>
      </c>
      <c r="CV47" s="22"/>
      <c r="CX47" s="19"/>
      <c r="CY47" s="192"/>
      <c r="CZ47" s="24" t="s">
        <v>221</v>
      </c>
      <c r="DA47" s="24">
        <v>5</v>
      </c>
      <c r="DB47" s="24">
        <v>5</v>
      </c>
      <c r="DC47" s="32" t="s">
        <v>303</v>
      </c>
      <c r="DD47" s="8" t="str">
        <f>CONCATENATE("10.0.",TEXT(((BITWISE_AND('IP Address'!$D$20,DC$19)/4)+DB47*8),"0"),".",TEXT((BITWISE_AND('IP Address'!$D$21,DC$19)*64)+CY$42*10+DA47,"0"))</f>
        <v>10.0.44.15</v>
      </c>
      <c r="DE47" s="22"/>
      <c r="DG47" s="19"/>
      <c r="DH47" s="192"/>
      <c r="DI47" s="24" t="s">
        <v>221</v>
      </c>
      <c r="DJ47" s="24">
        <v>5</v>
      </c>
      <c r="DK47" s="24">
        <v>5</v>
      </c>
      <c r="DL47" s="32" t="s">
        <v>303</v>
      </c>
      <c r="DM47" s="8" t="str">
        <f>CONCATENATE("10.0.",TEXT(((BITWISE_AND('IP Address'!$D$20,DL$19)/4)+DK47*8),"0"),".",TEXT((BITWISE_AND('IP Address'!$D$21,DL$19)*64)+DH$42*10+DJ47,"0"))</f>
        <v>10.0.44.79</v>
      </c>
      <c r="DN47" s="21"/>
      <c r="DO47" s="209"/>
      <c r="DP47" s="40" t="s">
        <v>221</v>
      </c>
      <c r="DQ47" s="1">
        <v>5</v>
      </c>
      <c r="DR47" s="1">
        <v>5</v>
      </c>
      <c r="DS47" s="32" t="s">
        <v>305</v>
      </c>
      <c r="DT47" s="9" t="str">
        <f>CONCATENATE("10.0.",TEXT(((BITWISE_AND('IP Address'!$D$20,DL$19)/4)+DR47*8),"0"),".",TEXT((BITWISE_AND('IP Address'!$D$21,DL$19)*64)+DO$42*10+DQ47,"0"))</f>
        <v>10.0.44.99</v>
      </c>
      <c r="DU47" s="22"/>
    </row>
    <row r="48" spans="2:125">
      <c r="B48" s="19"/>
      <c r="C48" s="192"/>
      <c r="D48" s="40" t="s">
        <v>226</v>
      </c>
      <c r="E48" s="24">
        <v>6</v>
      </c>
      <c r="F48" s="24">
        <v>3</v>
      </c>
      <c r="G48" s="33" t="s">
        <v>306</v>
      </c>
      <c r="H48" s="8" t="str">
        <f>CONCATENATE("10.0.",TEXT(((BITWISE_AND('IP Address'!$D$20,G$19)/4)+F48*8),"0"),".",TEXT((BITWISE_AND('IP Address'!$D$21,G$19)*64)+C$42*10+E48,"0"))</f>
        <v>10.0.24.80</v>
      </c>
      <c r="I48" s="21"/>
      <c r="J48" s="192"/>
      <c r="K48" s="24" t="s">
        <v>226</v>
      </c>
      <c r="L48" s="24">
        <v>6</v>
      </c>
      <c r="M48" s="24">
        <v>1</v>
      </c>
      <c r="N48" s="1" t="s">
        <v>307</v>
      </c>
      <c r="O48" s="8" t="str">
        <f>CONCATENATE("10.0.",TEXT(((BITWISE_AND('IP Address'!$D$20,N$19)/4)+M48*8),"0"),".",TEXT((BITWISE_AND('IP Address'!$D$21,G$19)*64)+J$42*10+L48,"0"))</f>
        <v>10.0.8.100</v>
      </c>
      <c r="P48" s="21"/>
      <c r="Q48" s="200"/>
      <c r="R48" s="40" t="s">
        <v>226</v>
      </c>
      <c r="S48" s="1">
        <v>6</v>
      </c>
      <c r="T48" s="1">
        <v>3</v>
      </c>
      <c r="U48" s="117" t="s">
        <v>308</v>
      </c>
      <c r="V48" s="9" t="str">
        <f>CONCATENATE("10.0.",TEXT(((BITWISE_AND('IP Address'!$D$20,G$19)/4)+T48*8),"0"),".",TEXT((BITWISE_AND('IP Address'!$D$21,G$19)*64)+Q$42*10+S48,"0"))</f>
        <v>10.0.24.120</v>
      </c>
      <c r="W48" s="22"/>
      <c r="X48" s="35"/>
      <c r="Y48" s="19"/>
      <c r="Z48" s="192"/>
      <c r="AA48" s="24" t="s">
        <v>226</v>
      </c>
      <c r="AB48" s="24">
        <v>6</v>
      </c>
      <c r="AC48" s="24">
        <v>5</v>
      </c>
      <c r="AD48" s="32" t="s">
        <v>309</v>
      </c>
      <c r="AE48" s="8" t="str">
        <f>CONCATENATE("10.0.",TEXT(((BITWISE_AND('IP Address'!$D$20,AD$19)/4)+AC48*8),"0"),".",TEXT((BITWISE_AND('IP Address'!$D$21,AD$19)*64)+Z$42*10+AB48,"0"))</f>
        <v>10.0.40.80</v>
      </c>
      <c r="AF48" s="19"/>
      <c r="AG48" s="4"/>
      <c r="AH48" s="4"/>
      <c r="AI48" s="4"/>
      <c r="AJ48" s="4"/>
      <c r="AK48" s="4"/>
      <c r="AL48" s="4"/>
      <c r="AM48" s="22"/>
      <c r="AN48" s="35"/>
      <c r="AO48" s="19"/>
      <c r="AP48" s="192"/>
      <c r="AQ48" s="24" t="s">
        <v>226</v>
      </c>
      <c r="AR48" s="24">
        <v>6</v>
      </c>
      <c r="AS48" s="24">
        <v>5</v>
      </c>
      <c r="AT48" s="32" t="s">
        <v>309</v>
      </c>
      <c r="AU48" s="8" t="str">
        <f>CONCATENATE("10.0.",TEXT(((BITWISE_AND('IP Address'!$D$20,AT$19)/4)+AS48*8),"0"),".",TEXT((BITWISE_AND('IP Address'!$D$21,AT$19)*64)+AP$42*10+AR48,"0"))</f>
        <v>10.0.40.144</v>
      </c>
      <c r="AV48" s="22"/>
      <c r="AX48" s="19"/>
      <c r="AY48" s="192"/>
      <c r="AZ48" s="24" t="s">
        <v>226</v>
      </c>
      <c r="BA48" s="24">
        <v>6</v>
      </c>
      <c r="BB48" s="24">
        <v>5</v>
      </c>
      <c r="BC48" s="32" t="s">
        <v>309</v>
      </c>
      <c r="BD48" s="8" t="str">
        <f>CONCATENATE("10.0.",TEXT(((BITWISE_AND('IP Address'!$D$20,BC$19)/4)+BB48*8),"0"),".",TEXT((BITWISE_AND('IP Address'!$D$21,BC$19)*64)+AY$42*10+BA48,"0"))</f>
        <v>10.0.42.80</v>
      </c>
      <c r="BE48" s="22"/>
      <c r="BG48" s="19"/>
      <c r="BH48" s="192"/>
      <c r="BI48" s="24" t="s">
        <v>226</v>
      </c>
      <c r="BJ48" s="24">
        <v>6</v>
      </c>
      <c r="BK48" s="24">
        <v>5</v>
      </c>
      <c r="BL48" s="32" t="s">
        <v>309</v>
      </c>
      <c r="BM48" s="8" t="str">
        <f>CONCATENATE("10.0.",TEXT(((BITWISE_AND('IP Address'!$D$20,BL$19)/4)+BK48*8),"0"),".",TEXT((BITWISE_AND('IP Address'!$D$21,BL$19)*64)+BH$42*10+BJ48,"0"))</f>
        <v>10.0.42.208</v>
      </c>
      <c r="BN48" s="22"/>
      <c r="BP48" s="19"/>
      <c r="BQ48" s="192"/>
      <c r="BR48" s="24" t="s">
        <v>226</v>
      </c>
      <c r="BS48" s="24">
        <v>6</v>
      </c>
      <c r="BT48" s="24">
        <v>5</v>
      </c>
      <c r="BU48" s="32" t="s">
        <v>309</v>
      </c>
      <c r="BV48" s="8" t="str">
        <f>CONCATENATE("10.0.",TEXT(((BITWISE_AND('IP Address'!$D$20,BU$19)/4)+BT48*8),"0"),".",TEXT((BITWISE_AND('IP Address'!$D$21,BU$19)*64)+BQ$42*10+BS48,"0"))</f>
        <v>10.0.43.16</v>
      </c>
      <c r="BW48" s="22"/>
      <c r="BX48" s="35"/>
      <c r="BY48" s="19"/>
      <c r="BZ48" s="192"/>
      <c r="CA48" s="24" t="s">
        <v>226</v>
      </c>
      <c r="CB48" s="24">
        <v>6</v>
      </c>
      <c r="CC48" s="24">
        <v>5</v>
      </c>
      <c r="CD48" s="32" t="s">
        <v>309</v>
      </c>
      <c r="CE48" s="8" t="str">
        <f>CONCATENATE("10.0.",TEXT(((BITWISE_AND('IP Address'!$D$20,CD$19)/4)+CC48*8),"0"),".",TEXT((BITWISE_AND('IP Address'!$D$21,CD$19)*64)+BZ$42*10+CB48,"0"))</f>
        <v>10.0.43.80</v>
      </c>
      <c r="CF48" s="19"/>
      <c r="CG48" s="192"/>
      <c r="CH48" s="24" t="s">
        <v>226</v>
      </c>
      <c r="CI48" s="24">
        <v>6</v>
      </c>
      <c r="CJ48" s="24">
        <v>5</v>
      </c>
      <c r="CK48" s="32" t="s">
        <v>310</v>
      </c>
      <c r="CL48" s="8" t="str">
        <f>CONCATENATE("10.0.",TEXT(((BITWISE_AND('IP Address'!$D$20,CD$19)/4)+CJ48*8),"0"),".",TEXT((BITWISE_AND('IP Address'!$D$21,CD$19)*64)+CG$42*10+CI48,"0"))</f>
        <v>10.0.43.100</v>
      </c>
      <c r="CM48" s="22"/>
      <c r="CN48" s="35"/>
      <c r="CO48" s="19"/>
      <c r="CP48" s="192"/>
      <c r="CQ48" s="24" t="s">
        <v>226</v>
      </c>
      <c r="CR48" s="24">
        <v>6</v>
      </c>
      <c r="CS48" s="24">
        <v>5</v>
      </c>
      <c r="CT48" s="32" t="s">
        <v>309</v>
      </c>
      <c r="CU48" s="8" t="str">
        <f>CONCATENATE("10.0.",TEXT(((BITWISE_AND('IP Address'!$D$20,CT$19)/4)+CS48*8),"0"),".",TEXT((BITWISE_AND('IP Address'!$D$21,CT$19)*64)+CP$42*10+CR48,"0"))</f>
        <v>10.0.43.144</v>
      </c>
      <c r="CV48" s="22"/>
      <c r="CX48" s="19"/>
      <c r="CY48" s="192"/>
      <c r="CZ48" s="24" t="s">
        <v>226</v>
      </c>
      <c r="DA48" s="24">
        <v>6</v>
      </c>
      <c r="DB48" s="24">
        <v>5</v>
      </c>
      <c r="DC48" s="32" t="s">
        <v>309</v>
      </c>
      <c r="DD48" s="8" t="str">
        <f>CONCATENATE("10.0.",TEXT(((BITWISE_AND('IP Address'!$D$20,DC$19)/4)+DB48*8),"0"),".",TEXT((BITWISE_AND('IP Address'!$D$21,DC$19)*64)+CY$42*10+DA48,"0"))</f>
        <v>10.0.44.16</v>
      </c>
      <c r="DE48" s="22"/>
      <c r="DG48" s="19"/>
      <c r="DH48" s="192"/>
      <c r="DI48" s="24" t="s">
        <v>226</v>
      </c>
      <c r="DJ48" s="24">
        <v>6</v>
      </c>
      <c r="DK48" s="24">
        <v>5</v>
      </c>
      <c r="DL48" s="32" t="s">
        <v>309</v>
      </c>
      <c r="DM48" s="8" t="str">
        <f>CONCATENATE("10.0.",TEXT(((BITWISE_AND('IP Address'!$D$20,DL$19)/4)+DK48*8),"0"),".",TEXT((BITWISE_AND('IP Address'!$D$21,DL$19)*64)+DH$42*10+DJ48,"0"))</f>
        <v>10.0.44.80</v>
      </c>
      <c r="DN48" s="21"/>
      <c r="DO48" s="209"/>
      <c r="DP48" s="40" t="s">
        <v>226</v>
      </c>
      <c r="DQ48" s="1">
        <v>6</v>
      </c>
      <c r="DR48" s="1">
        <v>5</v>
      </c>
      <c r="DS48" s="32" t="s">
        <v>311</v>
      </c>
      <c r="DT48" s="9" t="str">
        <f>CONCATENATE("10.0.",TEXT(((BITWISE_AND('IP Address'!$D$20,DL$19)/4)+DR48*8),"0"),".",TEXT((BITWISE_AND('IP Address'!$D$21,DL$19)*64)+DO$42*10+DQ48,"0"))</f>
        <v>10.0.44.100</v>
      </c>
      <c r="DU48" s="22"/>
    </row>
    <row r="49" spans="2:125">
      <c r="B49" s="19"/>
      <c r="C49" s="192"/>
      <c r="D49" s="40" t="s">
        <v>235</v>
      </c>
      <c r="E49" s="24">
        <v>7</v>
      </c>
      <c r="F49" s="24">
        <v>3</v>
      </c>
      <c r="G49" s="33" t="s">
        <v>289</v>
      </c>
      <c r="H49" s="8" t="str">
        <f>CONCATENATE("10.0.",TEXT(((BITWISE_AND('IP Address'!$D$20,G$19)/4)+F49*8),"0"),".",TEXT((BITWISE_AND('IP Address'!$D$21,G$19)*64)+C$42*10+E49,"0"))</f>
        <v>10.0.24.81</v>
      </c>
      <c r="I49" s="21"/>
      <c r="J49" s="192"/>
      <c r="K49" s="24" t="s">
        <v>235</v>
      </c>
      <c r="L49" s="24">
        <v>7</v>
      </c>
      <c r="M49" s="24">
        <v>1</v>
      </c>
      <c r="N49" s="1" t="s">
        <v>312</v>
      </c>
      <c r="O49" s="8" t="str">
        <f>CONCATENATE("10.0.",TEXT(((BITWISE_AND('IP Address'!$D$20,N$19)/4)+M49*8),"0"),".",TEXT((BITWISE_AND('IP Address'!$D$21,G$19)*64)+J$42*10+L49,"0"))</f>
        <v>10.0.8.101</v>
      </c>
      <c r="P49" s="21"/>
      <c r="Q49" s="200"/>
      <c r="R49" s="40" t="s">
        <v>235</v>
      </c>
      <c r="S49" s="1">
        <v>7</v>
      </c>
      <c r="T49" s="1">
        <v>7</v>
      </c>
      <c r="U49" s="31" t="s">
        <v>313</v>
      </c>
      <c r="V49" s="9" t="str">
        <f>CONCATENATE("10.0.",TEXT(((BITWISE_AND('IP Address'!$D$20,G$19)/4)+T49*8),"0"),".",TEXT((BITWISE_AND('IP Address'!$D$21,G$19)*64)+Q$42*10+S49,"0"))</f>
        <v>10.0.56.121</v>
      </c>
      <c r="W49" s="22"/>
      <c r="X49" s="35"/>
      <c r="Y49" s="19"/>
      <c r="Z49" s="192"/>
      <c r="AA49" s="24" t="s">
        <v>235</v>
      </c>
      <c r="AB49" s="24">
        <v>7</v>
      </c>
      <c r="AC49" s="25">
        <v>0</v>
      </c>
      <c r="AD49" s="32" t="s">
        <v>285</v>
      </c>
      <c r="AE49" s="125" t="s">
        <v>314</v>
      </c>
      <c r="AF49" s="19"/>
      <c r="AG49" s="4"/>
      <c r="AH49" s="4"/>
      <c r="AI49" s="4"/>
      <c r="AJ49" s="4"/>
      <c r="AK49" s="4"/>
      <c r="AL49" s="4"/>
      <c r="AM49" s="22"/>
      <c r="AN49" s="35"/>
      <c r="AO49" s="19"/>
      <c r="AP49" s="192"/>
      <c r="AQ49" s="24" t="s">
        <v>235</v>
      </c>
      <c r="AR49" s="24">
        <v>7</v>
      </c>
      <c r="AS49" s="24">
        <v>3</v>
      </c>
      <c r="AT49" s="32" t="s">
        <v>315</v>
      </c>
      <c r="AU49" s="8" t="str">
        <f>CONCATENATE("10.0.",TEXT(((BITWISE_AND('IP Address'!$D$20,AT$19)/4)+AS49*8),"0"),".",TEXT((BITWISE_AND('IP Address'!$D$21,AT$19)*64)+AP$42*10+AR49,"0"))</f>
        <v>10.0.24.145</v>
      </c>
      <c r="AV49" s="22"/>
      <c r="AX49" s="19"/>
      <c r="AY49" s="192"/>
      <c r="AZ49" s="24" t="s">
        <v>235</v>
      </c>
      <c r="BA49" s="24">
        <v>7</v>
      </c>
      <c r="BB49" s="24">
        <v>7</v>
      </c>
      <c r="BC49" s="1"/>
      <c r="BD49" s="8" t="str">
        <f>CONCATENATE("10.0.",TEXT(((BITWISE_AND('IP Address'!$D$20,BC$19)/4)+BB49*8),"0"),".",TEXT((BITWISE_AND('IP Address'!$D$21,BC$19)*64)+AY$42*10+BA49,"0"))</f>
        <v>10.0.58.81</v>
      </c>
      <c r="BE49" s="22"/>
      <c r="BG49" s="19"/>
      <c r="BH49" s="192"/>
      <c r="BI49" s="24" t="s">
        <v>235</v>
      </c>
      <c r="BJ49" s="24">
        <v>7</v>
      </c>
      <c r="BK49" s="24">
        <v>7</v>
      </c>
      <c r="BL49" s="1"/>
      <c r="BM49" s="8" t="str">
        <f>CONCATENATE("10.0.",TEXT(((BITWISE_AND('IP Address'!$D$20,BL$19)/4)+BK49*8),"0"),".",TEXT((BITWISE_AND('IP Address'!$D$21,BL$19)*64)+BH$42*10+BJ49,"0"))</f>
        <v>10.0.58.209</v>
      </c>
      <c r="BN49" s="22"/>
      <c r="BP49" s="19"/>
      <c r="BQ49" s="192"/>
      <c r="BR49" s="24" t="s">
        <v>235</v>
      </c>
      <c r="BS49" s="24">
        <v>7</v>
      </c>
      <c r="BT49" s="24">
        <v>7</v>
      </c>
      <c r="BU49" s="1"/>
      <c r="BV49" s="8" t="str">
        <f>CONCATENATE("10.0.",TEXT(((BITWISE_AND('IP Address'!$D$20,BU$19)/4)+BT49*8),"0"),".",TEXT((BITWISE_AND('IP Address'!$D$21,BU$19)*64)+BQ$42*10+BS49,"0"))</f>
        <v>10.0.59.17</v>
      </c>
      <c r="BW49" s="22"/>
      <c r="BX49" s="35"/>
      <c r="BY49" s="19"/>
      <c r="BZ49" s="192"/>
      <c r="CA49" s="24" t="s">
        <v>235</v>
      </c>
      <c r="CB49" s="24">
        <v>7</v>
      </c>
      <c r="CC49" s="24">
        <v>3</v>
      </c>
      <c r="CD49" s="33" t="s">
        <v>213</v>
      </c>
      <c r="CE49" s="8" t="str">
        <f>CONCATENATE("10.0.",TEXT(((BITWISE_AND('IP Address'!$D$20,CD$19)/4)+CC49*8),"0"),".",TEXT((BITWISE_AND('IP Address'!$D$21,CD$19)*64)+BZ$42*10+CB49,"0"))</f>
        <v>10.0.27.81</v>
      </c>
      <c r="CF49" s="19"/>
      <c r="CG49" s="192"/>
      <c r="CH49" s="24" t="s">
        <v>235</v>
      </c>
      <c r="CI49" s="24">
        <v>7</v>
      </c>
      <c r="CJ49" s="24">
        <v>5</v>
      </c>
      <c r="CK49" s="32" t="s">
        <v>316</v>
      </c>
      <c r="CL49" s="8" t="str">
        <f>CONCATENATE("10.0.",TEXT(((BITWISE_AND('IP Address'!$D$20,CD$19)/4)+CJ49*8),"0"),".",TEXT((BITWISE_AND('IP Address'!$D$21,CD$19)*64)+CG$42*10+CI49,"0"))</f>
        <v>10.0.43.101</v>
      </c>
      <c r="CM49" s="22"/>
      <c r="CN49" s="35"/>
      <c r="CO49" s="19"/>
      <c r="CP49" s="192"/>
      <c r="CQ49" s="24" t="s">
        <v>235</v>
      </c>
      <c r="CR49" s="24">
        <v>7</v>
      </c>
      <c r="CS49" s="24">
        <v>7</v>
      </c>
      <c r="CT49" s="31"/>
      <c r="CU49" s="8" t="str">
        <f>CONCATENATE("10.0.",TEXT(((BITWISE_AND('IP Address'!$D$20,CT$19)/4)+CS49*8),"0"),".",TEXT((BITWISE_AND('IP Address'!$D$21,CT$19)*64)+CP$42*10+CR49,"0"))</f>
        <v>10.0.59.145</v>
      </c>
      <c r="CV49" s="22"/>
      <c r="CX49" s="19"/>
      <c r="CY49" s="192"/>
      <c r="CZ49" s="24" t="s">
        <v>235</v>
      </c>
      <c r="DA49" s="24">
        <v>7</v>
      </c>
      <c r="DB49" s="24">
        <v>3</v>
      </c>
      <c r="DC49" s="32" t="s">
        <v>315</v>
      </c>
      <c r="DD49" s="8" t="str">
        <f>CONCATENATE("10.0.",TEXT(((BITWISE_AND('IP Address'!$D$20,DC$19)/4)+DB49*8),"0"),".",TEXT((BITWISE_AND('IP Address'!$D$21,DC$19)*64)+CY$42*10+DA49,"0"))</f>
        <v>10.0.28.17</v>
      </c>
      <c r="DE49" s="22"/>
      <c r="DG49" s="19"/>
      <c r="DH49" s="192"/>
      <c r="DI49" s="24" t="s">
        <v>235</v>
      </c>
      <c r="DJ49" s="24">
        <v>7</v>
      </c>
      <c r="DK49" s="24">
        <v>7</v>
      </c>
      <c r="DL49" s="32" t="s">
        <v>317</v>
      </c>
      <c r="DM49" s="8" t="str">
        <f>CONCATENATE("10.0.",TEXT(((BITWISE_AND('IP Address'!$D$20,DL$19)/4)+DK49*8),"0"),".",TEXT((BITWISE_AND('IP Address'!$D$21,DL$19)*64)+DH$42*10+DJ49,"0"))</f>
        <v>10.0.60.81</v>
      </c>
      <c r="DN49" s="21"/>
      <c r="DO49" s="209"/>
      <c r="DP49" s="40" t="s">
        <v>235</v>
      </c>
      <c r="DQ49" s="1">
        <v>7</v>
      </c>
      <c r="DR49" s="1">
        <v>3</v>
      </c>
      <c r="DS49" s="32" t="s">
        <v>318</v>
      </c>
      <c r="DT49" s="9" t="str">
        <f>CONCATENATE("10.0.",TEXT(((BITWISE_AND('IP Address'!$D$20,DL$19)/4)+DR49*8),"0"),".",TEXT((BITWISE_AND('IP Address'!$D$21,DL$19)*64)+DO$42*10+DQ49,"0"))</f>
        <v>10.0.28.101</v>
      </c>
      <c r="DU49" s="22"/>
    </row>
    <row r="50" spans="2:125">
      <c r="B50" s="19"/>
      <c r="C50" s="192"/>
      <c r="D50" s="48" t="s">
        <v>243</v>
      </c>
      <c r="E50" s="25">
        <v>8</v>
      </c>
      <c r="F50" s="25">
        <v>1</v>
      </c>
      <c r="G50" s="36" t="s">
        <v>319</v>
      </c>
      <c r="H50" s="10" t="str">
        <f>CONCATENATE("10.0.",TEXT(((BITWISE_AND('IP Address'!$D$20,G$19)/4)+F50*8),"0"),".",TEXT((BITWISE_AND('IP Address'!$D$21,G$19)*64)+C$42*10+E50,"0"))</f>
        <v>10.0.8.82</v>
      </c>
      <c r="I50" s="21"/>
      <c r="J50" s="192"/>
      <c r="K50" s="25" t="s">
        <v>243</v>
      </c>
      <c r="L50" s="25">
        <v>8</v>
      </c>
      <c r="M50" s="25">
        <v>0</v>
      </c>
      <c r="N50" s="2" t="s">
        <v>320</v>
      </c>
      <c r="O50" s="137" t="str">
        <f>V23</f>
        <v>10.0.63.252</v>
      </c>
      <c r="P50" s="21"/>
      <c r="Q50" s="200"/>
      <c r="R50" s="48" t="s">
        <v>243</v>
      </c>
      <c r="S50" s="2">
        <v>8</v>
      </c>
      <c r="T50" s="2">
        <v>0</v>
      </c>
      <c r="U50" s="2" t="s">
        <v>321</v>
      </c>
      <c r="V50" s="137" t="str">
        <f>O23</f>
        <v>10.0.63.250</v>
      </c>
      <c r="W50" s="22"/>
      <c r="X50" s="35"/>
      <c r="Y50" s="19"/>
      <c r="Z50" s="192"/>
      <c r="AA50" s="25" t="s">
        <v>243</v>
      </c>
      <c r="AB50" s="25">
        <v>8</v>
      </c>
      <c r="AC50" s="25">
        <v>0</v>
      </c>
      <c r="AD50" s="36" t="s">
        <v>322</v>
      </c>
      <c r="AE50" s="137" t="str">
        <f>AL23</f>
        <v>10.0.56.107</v>
      </c>
      <c r="AF50" s="19"/>
      <c r="AG50" s="4"/>
      <c r="AH50" s="4"/>
      <c r="AI50" s="4"/>
      <c r="AJ50" s="4"/>
      <c r="AK50" s="4"/>
      <c r="AL50" s="4"/>
      <c r="AM50" s="22"/>
      <c r="AN50" s="35"/>
      <c r="AO50" s="19"/>
      <c r="AP50" s="192"/>
      <c r="AQ50" s="25" t="s">
        <v>243</v>
      </c>
      <c r="AR50" s="25">
        <v>8</v>
      </c>
      <c r="AS50" s="25">
        <v>7</v>
      </c>
      <c r="AT50" s="2"/>
      <c r="AU50" s="10" t="str">
        <f>CONCATENATE("10.0.",TEXT(((BITWISE_AND('IP Address'!$D$20,AT$19)/4)+AS50*8),"0"),".",TEXT((BITWISE_AND('IP Address'!$D$21,AT$19)*64)+AP$42*10+AR50,"0"))</f>
        <v>10.0.56.146</v>
      </c>
      <c r="AV50" s="22"/>
      <c r="AX50" s="19"/>
      <c r="AY50" s="192"/>
      <c r="AZ50" s="25" t="s">
        <v>243</v>
      </c>
      <c r="BA50" s="25">
        <v>8</v>
      </c>
      <c r="BB50" s="25">
        <v>7</v>
      </c>
      <c r="BC50" s="2"/>
      <c r="BD50" s="10" t="str">
        <f>CONCATENATE("10.0.",TEXT(((BITWISE_AND('IP Address'!$D$20,BC$19)/4)+BB50*8),"0"),".",TEXT((BITWISE_AND('IP Address'!$D$21,BC$19)*64)+AY$42*10+BA50,"0"))</f>
        <v>10.0.58.82</v>
      </c>
      <c r="BE50" s="22"/>
      <c r="BG50" s="19"/>
      <c r="BH50" s="192"/>
      <c r="BI50" s="25" t="s">
        <v>243</v>
      </c>
      <c r="BJ50" s="25">
        <v>8</v>
      </c>
      <c r="BK50" s="25">
        <v>7</v>
      </c>
      <c r="BL50" s="2"/>
      <c r="BM50" s="10" t="str">
        <f>CONCATENATE("10.0.",TEXT(((BITWISE_AND('IP Address'!$D$20,BL$19)/4)+BK50*8),"0"),".",TEXT((BITWISE_AND('IP Address'!$D$21,BL$19)*64)+BH$42*10+BJ50,"0"))</f>
        <v>10.0.58.210</v>
      </c>
      <c r="BN50" s="22"/>
      <c r="BP50" s="19"/>
      <c r="BQ50" s="192"/>
      <c r="BR50" s="25" t="s">
        <v>243</v>
      </c>
      <c r="BS50" s="25">
        <v>8</v>
      </c>
      <c r="BT50" s="25">
        <v>7</v>
      </c>
      <c r="BU50" s="2"/>
      <c r="BV50" s="10" t="str">
        <f>CONCATENATE("10.0.",TEXT(((BITWISE_AND('IP Address'!$D$20,BU$19)/4)+BT50*8),"0"),".",TEXT((BITWISE_AND('IP Address'!$D$21,BU$19)*64)+BQ$42*10+BS50,"0"))</f>
        <v>10.0.59.18</v>
      </c>
      <c r="BW50" s="22"/>
      <c r="BX50" s="35"/>
      <c r="BY50" s="19"/>
      <c r="BZ50" s="192"/>
      <c r="CA50" s="25" t="s">
        <v>243</v>
      </c>
      <c r="CB50" s="25">
        <v>8</v>
      </c>
      <c r="CC50" s="25">
        <v>0</v>
      </c>
      <c r="CD50" s="2" t="s">
        <v>320</v>
      </c>
      <c r="CE50" s="137" t="str">
        <f>CL23</f>
        <v>10.0.63.252</v>
      </c>
      <c r="CF50" s="19"/>
      <c r="CG50" s="192"/>
      <c r="CH50" s="25" t="s">
        <v>243</v>
      </c>
      <c r="CI50" s="25">
        <v>8</v>
      </c>
      <c r="CJ50" s="25">
        <v>0</v>
      </c>
      <c r="CK50" s="2" t="s">
        <v>323</v>
      </c>
      <c r="CL50" s="137" t="str">
        <f>CE23</f>
        <v>10.0.63.250</v>
      </c>
      <c r="CM50" s="22"/>
      <c r="CN50" s="35"/>
      <c r="CO50" s="19"/>
      <c r="CP50" s="192"/>
      <c r="CQ50" s="25" t="s">
        <v>243</v>
      </c>
      <c r="CR50" s="25">
        <v>8</v>
      </c>
      <c r="CS50" s="25">
        <v>7</v>
      </c>
      <c r="CT50" s="2"/>
      <c r="CU50" s="10" t="str">
        <f>CONCATENATE("10.0.",TEXT(((BITWISE_AND('IP Address'!$D$20,CT$19)/4)+CS50*8),"0"),".",TEXT((BITWISE_AND('IP Address'!$D$21,CT$19)*64)+CP$42*10+CR50,"0"))</f>
        <v>10.0.59.146</v>
      </c>
      <c r="CV50" s="22"/>
      <c r="CX50" s="19"/>
      <c r="CY50" s="192"/>
      <c r="CZ50" s="25" t="s">
        <v>243</v>
      </c>
      <c r="DA50" s="25">
        <v>8</v>
      </c>
      <c r="DB50" s="25">
        <v>7</v>
      </c>
      <c r="DC50" s="2"/>
      <c r="DD50" s="10" t="str">
        <f>CONCATENATE("10.0.",TEXT(((BITWISE_AND('IP Address'!$D$20,DC$19)/4)+DB50*8),"0"),".",TEXT((BITWISE_AND('IP Address'!$D$21,DC$19)*64)+CY$42*10+DA50,"0"))</f>
        <v>10.0.60.18</v>
      </c>
      <c r="DE50" s="22"/>
      <c r="DG50" s="19"/>
      <c r="DH50" s="192"/>
      <c r="DI50" s="25" t="s">
        <v>243</v>
      </c>
      <c r="DJ50" s="25">
        <v>8</v>
      </c>
      <c r="DK50" s="25">
        <v>7</v>
      </c>
      <c r="DL50" s="2"/>
      <c r="DM50" s="10" t="str">
        <f>CONCATENATE("10.0.",TEXT(((BITWISE_AND('IP Address'!$D$20,DL$19)/4)+DK50*8),"0"),".",TEXT((BITWISE_AND('IP Address'!$D$21,DL$19)*64)+DH$42*10+DJ50,"0"))</f>
        <v>10.0.60.82</v>
      </c>
      <c r="DN50" s="21"/>
      <c r="DO50" s="209"/>
      <c r="DP50" s="48" t="s">
        <v>243</v>
      </c>
      <c r="DQ50" s="2">
        <v>8</v>
      </c>
      <c r="DR50" s="2">
        <v>7</v>
      </c>
      <c r="DS50" s="77"/>
      <c r="DT50" s="10" t="str">
        <f>CONCATENATE("10.0.",TEXT(((BITWISE_AND('IP Address'!$D$20,DL$19)/4)+DR50*8),"0"),".",TEXT((BITWISE_AND('IP Address'!$D$21,DL$19)*64)+DO$42*10+DQ50,"0"))</f>
        <v>10.0.60.102</v>
      </c>
      <c r="DU50" s="22"/>
    </row>
    <row r="51" spans="2:125" ht="15.75" thickBot="1">
      <c r="B51" s="19"/>
      <c r="C51" s="192"/>
      <c r="D51" s="49" t="s">
        <v>248</v>
      </c>
      <c r="E51" s="26">
        <v>9</v>
      </c>
      <c r="F51" s="26">
        <v>6</v>
      </c>
      <c r="G51" s="120" t="s">
        <v>272</v>
      </c>
      <c r="H51" s="12" t="str">
        <f>CONCATENATE("10.0.",TEXT(((BITWISE_AND('IP Address'!$D$20,G$19)/4)+F51*8),"0"),".",TEXT((BITWISE_AND('IP Address'!$D$21,G$19)*64)+C$42*10+E51,"0"))</f>
        <v>10.0.48.83</v>
      </c>
      <c r="I51" s="21"/>
      <c r="J51" s="192"/>
      <c r="K51" s="26" t="s">
        <v>248</v>
      </c>
      <c r="L51" s="26">
        <v>9</v>
      </c>
      <c r="M51" s="26">
        <v>0</v>
      </c>
      <c r="N51" s="11" t="s">
        <v>324</v>
      </c>
      <c r="O51" s="155" t="str">
        <f>V41</f>
        <v>10.0.63.253</v>
      </c>
      <c r="P51" s="21"/>
      <c r="Q51" s="201"/>
      <c r="R51" s="49" t="s">
        <v>248</v>
      </c>
      <c r="S51" s="11">
        <v>9</v>
      </c>
      <c r="T51" s="11">
        <v>0</v>
      </c>
      <c r="U51" s="11" t="s">
        <v>325</v>
      </c>
      <c r="V51" s="155" t="str">
        <f>O41</f>
        <v>10.0.63.251</v>
      </c>
      <c r="W51" s="22"/>
      <c r="X51" s="35"/>
      <c r="Y51" s="19"/>
      <c r="Z51" s="192"/>
      <c r="AA51" s="26" t="s">
        <v>248</v>
      </c>
      <c r="AB51" s="26">
        <v>9</v>
      </c>
      <c r="AC51" s="26">
        <v>3</v>
      </c>
      <c r="AD51" s="120" t="s">
        <v>318</v>
      </c>
      <c r="AE51" s="12" t="str">
        <f>CONCATENATE("10.0.",TEXT(((BITWISE_AND('IP Address'!$D$20,AD$19)/4)+AC51*8),"0"),".",TEXT((BITWISE_AND('IP Address'!$D$21,AD$19)*64)+Z$42*10+AB51,"0"))</f>
        <v>10.0.24.83</v>
      </c>
      <c r="AF51" s="19"/>
      <c r="AG51" s="4"/>
      <c r="AH51" s="4"/>
      <c r="AI51" s="4"/>
      <c r="AJ51" s="4"/>
      <c r="AK51" s="4"/>
      <c r="AL51" s="4"/>
      <c r="AM51" s="22"/>
      <c r="AN51" s="35"/>
      <c r="AO51" s="19"/>
      <c r="AP51" s="192"/>
      <c r="AQ51" s="26" t="s">
        <v>248</v>
      </c>
      <c r="AR51" s="26">
        <v>9</v>
      </c>
      <c r="AS51" s="26">
        <v>7</v>
      </c>
      <c r="AT51" s="11"/>
      <c r="AU51" s="12" t="str">
        <f>CONCATENATE("10.0.",TEXT(((BITWISE_AND('IP Address'!$D$20,AT$19)/4)+AS51*8),"0"),".",TEXT((BITWISE_AND('IP Address'!$D$21,AT$19)*64)+AP$42*10+AR51,"0"))</f>
        <v>10.0.56.147</v>
      </c>
      <c r="AV51" s="22"/>
      <c r="AX51" s="19"/>
      <c r="AY51" s="192"/>
      <c r="AZ51" s="26" t="s">
        <v>248</v>
      </c>
      <c r="BA51" s="26">
        <v>9</v>
      </c>
      <c r="BB51" s="26">
        <v>7</v>
      </c>
      <c r="BC51" s="11"/>
      <c r="BD51" s="12" t="str">
        <f>CONCATENATE("10.0.",TEXT(((BITWISE_AND('IP Address'!$D$20,BC$19)/4)+BB51*8),"0"),".",TEXT((BITWISE_AND('IP Address'!$D$21,BC$19)*64)+AY$42*10+BA51,"0"))</f>
        <v>10.0.58.83</v>
      </c>
      <c r="BE51" s="22"/>
      <c r="BG51" s="19"/>
      <c r="BH51" s="192"/>
      <c r="BI51" s="26" t="s">
        <v>248</v>
      </c>
      <c r="BJ51" s="26">
        <v>9</v>
      </c>
      <c r="BK51" s="26">
        <v>7</v>
      </c>
      <c r="BL51" s="11"/>
      <c r="BM51" s="12" t="str">
        <f>CONCATENATE("10.0.",TEXT(((BITWISE_AND('IP Address'!$D$20,BL$19)/4)+BK51*8),"0"),".",TEXT((BITWISE_AND('IP Address'!$D$21,BL$19)*64)+BH$42*10+BJ51,"0"))</f>
        <v>10.0.58.211</v>
      </c>
      <c r="BN51" s="22"/>
      <c r="BP51" s="19"/>
      <c r="BQ51" s="192"/>
      <c r="BR51" s="26" t="s">
        <v>248</v>
      </c>
      <c r="BS51" s="26">
        <v>9</v>
      </c>
      <c r="BT51" s="26">
        <v>7</v>
      </c>
      <c r="BU51" s="11"/>
      <c r="BV51" s="12" t="str">
        <f>CONCATENATE("10.0.",TEXT(((BITWISE_AND('IP Address'!$D$20,BU$19)/4)+BT51*8),"0"),".",TEXT((BITWISE_AND('IP Address'!$D$21,BU$19)*64)+BQ$42*10+BS51,"0"))</f>
        <v>10.0.59.19</v>
      </c>
      <c r="BW51" s="22"/>
      <c r="BX51" s="35"/>
      <c r="BY51" s="19"/>
      <c r="BZ51" s="192"/>
      <c r="CA51" s="26" t="s">
        <v>248</v>
      </c>
      <c r="CB51" s="26">
        <v>9</v>
      </c>
      <c r="CC51" s="26">
        <v>0</v>
      </c>
      <c r="CD51" s="11" t="s">
        <v>324</v>
      </c>
      <c r="CE51" s="155" t="str">
        <f>CL41</f>
        <v>10.0.63.253</v>
      </c>
      <c r="CF51" s="19"/>
      <c r="CG51" s="193"/>
      <c r="CH51" s="26" t="s">
        <v>248</v>
      </c>
      <c r="CI51" s="26">
        <v>9</v>
      </c>
      <c r="CJ51" s="26">
        <v>0</v>
      </c>
      <c r="CK51" s="11" t="s">
        <v>326</v>
      </c>
      <c r="CL51" s="155" t="str">
        <f>CE41</f>
        <v>10.0.63.251</v>
      </c>
      <c r="CM51" s="22"/>
      <c r="CN51" s="35"/>
      <c r="CO51" s="19"/>
      <c r="CP51" s="192"/>
      <c r="CQ51" s="26" t="s">
        <v>248</v>
      </c>
      <c r="CR51" s="26">
        <v>9</v>
      </c>
      <c r="CS51" s="26">
        <v>7</v>
      </c>
      <c r="CT51" s="11"/>
      <c r="CU51" s="12" t="str">
        <f>CONCATENATE("10.0.",TEXT(((BITWISE_AND('IP Address'!$D$20,CT$19)/4)+CS51*8),"0"),".",TEXT((BITWISE_AND('IP Address'!$D$21,CT$19)*64)+CP$42*10+CR51,"0"))</f>
        <v>10.0.59.147</v>
      </c>
      <c r="CV51" s="22"/>
      <c r="CX51" s="19"/>
      <c r="CY51" s="192"/>
      <c r="CZ51" s="26" t="s">
        <v>248</v>
      </c>
      <c r="DA51" s="26">
        <v>9</v>
      </c>
      <c r="DB51" s="26">
        <v>7</v>
      </c>
      <c r="DC51" s="11"/>
      <c r="DD51" s="12" t="str">
        <f>CONCATENATE("10.0.",TEXT(((BITWISE_AND('IP Address'!$D$20,DC$19)/4)+DB51*8),"0"),".",TEXT((BITWISE_AND('IP Address'!$D$21,DC$19)*64)+CY$42*10+DA51,"0"))</f>
        <v>10.0.60.19</v>
      </c>
      <c r="DE51" s="22"/>
      <c r="DG51" s="19"/>
      <c r="DH51" s="192"/>
      <c r="DI51" s="26" t="s">
        <v>248</v>
      </c>
      <c r="DJ51" s="26">
        <v>9</v>
      </c>
      <c r="DK51" s="26">
        <v>7</v>
      </c>
      <c r="DL51" s="11"/>
      <c r="DM51" s="12" t="str">
        <f>CONCATENATE("10.0.",TEXT(((BITWISE_AND('IP Address'!$D$20,DL$19)/4)+DK51*8),"0"),".",TEXT((BITWISE_AND('IP Address'!$D$21,DL$19)*64)+DH$42*10+DJ51,"0"))</f>
        <v>10.0.60.83</v>
      </c>
      <c r="DN51" s="21"/>
      <c r="DO51" s="209"/>
      <c r="DP51" s="49" t="s">
        <v>248</v>
      </c>
      <c r="DQ51" s="11">
        <v>9</v>
      </c>
      <c r="DR51" s="11">
        <v>7</v>
      </c>
      <c r="DS51" s="11"/>
      <c r="DT51" s="12" t="str">
        <f>CONCATENATE("10.0.",TEXT(((BITWISE_AND('IP Address'!$D$20,DL$19)/4)+DR51*8),"0"),".",TEXT((BITWISE_AND('IP Address'!$D$21,DL$19)*64)+DO$42*10+DQ51,"0"))</f>
        <v>10.0.60.103</v>
      </c>
      <c r="DU51" s="22"/>
    </row>
    <row r="52" spans="2:125">
      <c r="B52" s="19"/>
      <c r="C52" s="192"/>
      <c r="D52" s="79" t="s">
        <v>252</v>
      </c>
      <c r="E52" s="80" t="s">
        <v>253</v>
      </c>
      <c r="F52" s="80"/>
      <c r="G52" s="85"/>
      <c r="H52" s="86"/>
      <c r="I52" s="87"/>
      <c r="J52" s="192"/>
      <c r="K52" s="88" t="s">
        <v>252</v>
      </c>
      <c r="L52" s="89" t="s">
        <v>253</v>
      </c>
      <c r="M52" s="89"/>
      <c r="N52" s="85" t="s">
        <v>327</v>
      </c>
      <c r="O52" s="81"/>
      <c r="P52" s="21"/>
      <c r="Q52" s="4"/>
      <c r="R52" s="4"/>
      <c r="S52" s="4"/>
      <c r="T52" s="4"/>
      <c r="U52" s="4"/>
      <c r="V52" s="4"/>
      <c r="W52" s="22"/>
      <c r="X52" s="35"/>
      <c r="Y52" s="19"/>
      <c r="Z52" s="192"/>
      <c r="AA52" s="79" t="s">
        <v>252</v>
      </c>
      <c r="AB52" s="80" t="s">
        <v>253</v>
      </c>
      <c r="AC52" s="80"/>
      <c r="AD52" s="85"/>
      <c r="AE52" s="86"/>
      <c r="AF52" s="19"/>
      <c r="AG52" s="4"/>
      <c r="AH52" s="4"/>
      <c r="AI52" s="4"/>
      <c r="AJ52" s="4"/>
      <c r="AK52" s="4"/>
      <c r="AL52" s="4"/>
      <c r="AM52" s="22"/>
      <c r="AN52" s="35"/>
      <c r="AO52" s="19"/>
      <c r="AP52" s="192"/>
      <c r="AQ52" s="79" t="s">
        <v>252</v>
      </c>
      <c r="AR52" s="80" t="s">
        <v>253</v>
      </c>
      <c r="AS52" s="80"/>
      <c r="AT52" s="85" t="s">
        <v>328</v>
      </c>
      <c r="AU52" s="86"/>
      <c r="AV52" s="22"/>
      <c r="AX52" s="19"/>
      <c r="AY52" s="192"/>
      <c r="AZ52" s="79" t="s">
        <v>252</v>
      </c>
      <c r="BA52" s="80" t="s">
        <v>253</v>
      </c>
      <c r="BB52" s="80"/>
      <c r="BC52" s="85" t="s">
        <v>328</v>
      </c>
      <c r="BD52" s="86"/>
      <c r="BE52" s="22"/>
      <c r="BG52" s="19"/>
      <c r="BH52" s="192"/>
      <c r="BI52" s="79" t="s">
        <v>252</v>
      </c>
      <c r="BJ52" s="80" t="s">
        <v>253</v>
      </c>
      <c r="BK52" s="80"/>
      <c r="BL52" s="85" t="s">
        <v>328</v>
      </c>
      <c r="BM52" s="86"/>
      <c r="BN52" s="22"/>
      <c r="BP52" s="19"/>
      <c r="BQ52" s="192"/>
      <c r="BR52" s="79" t="s">
        <v>252</v>
      </c>
      <c r="BS52" s="80" t="s">
        <v>253</v>
      </c>
      <c r="BT52" s="80"/>
      <c r="BU52" s="85" t="s">
        <v>328</v>
      </c>
      <c r="BV52" s="86"/>
      <c r="BW52" s="22"/>
      <c r="BX52" s="35"/>
      <c r="BY52" s="19"/>
      <c r="BZ52" s="192"/>
      <c r="CA52" s="79" t="s">
        <v>252</v>
      </c>
      <c r="CB52" s="80" t="s">
        <v>253</v>
      </c>
      <c r="CC52" s="80"/>
      <c r="CD52" s="85" t="s">
        <v>328</v>
      </c>
      <c r="CE52" s="86"/>
      <c r="CF52" s="19"/>
      <c r="CG52" s="13"/>
      <c r="CH52" s="13"/>
      <c r="CI52" s="13"/>
      <c r="CJ52" s="13"/>
      <c r="CK52" s="13"/>
      <c r="CL52" s="13"/>
      <c r="CM52" s="22"/>
      <c r="CN52" s="35"/>
      <c r="CO52" s="19"/>
      <c r="CP52" s="192"/>
      <c r="CQ52" s="79" t="s">
        <v>252</v>
      </c>
      <c r="CR52" s="80" t="s">
        <v>253</v>
      </c>
      <c r="CS52" s="80"/>
      <c r="CT52" s="85" t="s">
        <v>328</v>
      </c>
      <c r="CU52" s="86"/>
      <c r="CV52" s="22"/>
      <c r="CX52" s="19"/>
      <c r="CY52" s="192"/>
      <c r="CZ52" s="79" t="s">
        <v>252</v>
      </c>
      <c r="DA52" s="80" t="s">
        <v>253</v>
      </c>
      <c r="DB52" s="80"/>
      <c r="DC52" s="85" t="s">
        <v>328</v>
      </c>
      <c r="DD52" s="86"/>
      <c r="DE52" s="22"/>
      <c r="DG52" s="19"/>
      <c r="DH52" s="192"/>
      <c r="DI52" s="79" t="s">
        <v>252</v>
      </c>
      <c r="DJ52" s="80" t="s">
        <v>253</v>
      </c>
      <c r="DK52" s="80"/>
      <c r="DL52" s="85" t="s">
        <v>328</v>
      </c>
      <c r="DM52" s="86"/>
      <c r="DN52" s="21"/>
      <c r="DO52" s="209"/>
      <c r="DP52" s="79" t="s">
        <v>252</v>
      </c>
      <c r="DQ52" s="80" t="s">
        <v>253</v>
      </c>
      <c r="DR52" s="80"/>
      <c r="DS52" s="85" t="s">
        <v>329</v>
      </c>
      <c r="DT52" s="86"/>
      <c r="DU52" s="22"/>
    </row>
    <row r="53" spans="2:125" ht="15.75" thickBot="1">
      <c r="B53" s="19"/>
      <c r="C53" s="192"/>
      <c r="D53" s="82" t="s">
        <v>257</v>
      </c>
      <c r="E53" s="83" t="s">
        <v>253</v>
      </c>
      <c r="F53" s="83"/>
      <c r="G53" s="90" t="s">
        <v>330</v>
      </c>
      <c r="H53" s="91"/>
      <c r="I53" s="87"/>
      <c r="J53" s="192"/>
      <c r="K53" s="92" t="s">
        <v>257</v>
      </c>
      <c r="L53" s="93" t="s">
        <v>253</v>
      </c>
      <c r="M53" s="93"/>
      <c r="N53" s="90"/>
      <c r="O53" s="84"/>
      <c r="P53" s="21"/>
      <c r="Q53" s="4"/>
      <c r="R53" s="4"/>
      <c r="S53" s="4"/>
      <c r="T53" s="4"/>
      <c r="U53" s="4"/>
      <c r="V53" s="4"/>
      <c r="W53" s="22"/>
      <c r="X53" s="35"/>
      <c r="Y53" s="19"/>
      <c r="Z53" s="192"/>
      <c r="AA53" s="82" t="s">
        <v>257</v>
      </c>
      <c r="AB53" s="83" t="s">
        <v>253</v>
      </c>
      <c r="AC53" s="83"/>
      <c r="AD53" s="90" t="s">
        <v>331</v>
      </c>
      <c r="AE53" s="91"/>
      <c r="AF53" s="19"/>
      <c r="AG53" s="4"/>
      <c r="AH53" s="4"/>
      <c r="AI53" s="4"/>
      <c r="AJ53" s="4"/>
      <c r="AK53" s="4"/>
      <c r="AL53" s="4"/>
      <c r="AM53" s="22"/>
      <c r="AN53" s="35"/>
      <c r="AO53" s="19"/>
      <c r="AP53" s="192"/>
      <c r="AQ53" s="82" t="s">
        <v>257</v>
      </c>
      <c r="AR53" s="83" t="s">
        <v>253</v>
      </c>
      <c r="AS53" s="83"/>
      <c r="AT53" s="90" t="s">
        <v>331</v>
      </c>
      <c r="AU53" s="91"/>
      <c r="AV53" s="22"/>
      <c r="AX53" s="19"/>
      <c r="AY53" s="192"/>
      <c r="AZ53" s="82" t="s">
        <v>257</v>
      </c>
      <c r="BA53" s="83" t="s">
        <v>253</v>
      </c>
      <c r="BB53" s="83"/>
      <c r="BC53" s="90" t="s">
        <v>331</v>
      </c>
      <c r="BD53" s="91"/>
      <c r="BE53" s="22"/>
      <c r="BG53" s="19"/>
      <c r="BH53" s="192"/>
      <c r="BI53" s="82" t="s">
        <v>257</v>
      </c>
      <c r="BJ53" s="83" t="s">
        <v>253</v>
      </c>
      <c r="BK53" s="83"/>
      <c r="BL53" s="90" t="s">
        <v>331</v>
      </c>
      <c r="BM53" s="91"/>
      <c r="BN53" s="22"/>
      <c r="BP53" s="19"/>
      <c r="BQ53" s="192"/>
      <c r="BR53" s="82" t="s">
        <v>257</v>
      </c>
      <c r="BS53" s="83" t="s">
        <v>253</v>
      </c>
      <c r="BT53" s="83"/>
      <c r="BU53" s="90" t="s">
        <v>331</v>
      </c>
      <c r="BV53" s="91"/>
      <c r="BW53" s="22"/>
      <c r="BX53" s="35"/>
      <c r="BY53" s="19"/>
      <c r="BZ53" s="192"/>
      <c r="CA53" s="82" t="s">
        <v>257</v>
      </c>
      <c r="CB53" s="83" t="s">
        <v>253</v>
      </c>
      <c r="CC53" s="83"/>
      <c r="CD53" s="90" t="s">
        <v>331</v>
      </c>
      <c r="CE53" s="91"/>
      <c r="CF53" s="19"/>
      <c r="CG53" s="13"/>
      <c r="CH53" s="13"/>
      <c r="CI53" s="13"/>
      <c r="CJ53" s="13"/>
      <c r="CK53" s="13"/>
      <c r="CL53" s="13"/>
      <c r="CM53" s="22"/>
      <c r="CN53" s="35"/>
      <c r="CO53" s="19"/>
      <c r="CP53" s="192"/>
      <c r="CQ53" s="82" t="s">
        <v>257</v>
      </c>
      <c r="CR53" s="83" t="s">
        <v>253</v>
      </c>
      <c r="CS53" s="83"/>
      <c r="CT53" s="90" t="s">
        <v>331</v>
      </c>
      <c r="CU53" s="91"/>
      <c r="CV53" s="22"/>
      <c r="CX53" s="19"/>
      <c r="CY53" s="192"/>
      <c r="CZ53" s="82" t="s">
        <v>257</v>
      </c>
      <c r="DA53" s="83" t="s">
        <v>253</v>
      </c>
      <c r="DB53" s="83"/>
      <c r="DC53" s="90" t="s">
        <v>331</v>
      </c>
      <c r="DD53" s="91"/>
      <c r="DE53" s="22"/>
      <c r="DG53" s="19"/>
      <c r="DH53" s="192"/>
      <c r="DI53" s="82" t="s">
        <v>257</v>
      </c>
      <c r="DJ53" s="83" t="s">
        <v>253</v>
      </c>
      <c r="DK53" s="83"/>
      <c r="DL53" s="90" t="s">
        <v>330</v>
      </c>
      <c r="DM53" s="91"/>
      <c r="DN53" s="21"/>
      <c r="DO53" s="209"/>
      <c r="DP53" s="82" t="s">
        <v>257</v>
      </c>
      <c r="DQ53" s="83" t="s">
        <v>253</v>
      </c>
      <c r="DR53" s="83"/>
      <c r="DS53" s="90"/>
      <c r="DT53" s="91"/>
      <c r="DU53" s="22"/>
    </row>
    <row r="54" spans="2:125">
      <c r="B54" s="19"/>
      <c r="C54" s="192"/>
      <c r="D54" s="79" t="s">
        <v>261</v>
      </c>
      <c r="E54" s="80" t="s">
        <v>253</v>
      </c>
      <c r="F54" s="80"/>
      <c r="G54" s="85" t="s">
        <v>332</v>
      </c>
      <c r="H54" s="86"/>
      <c r="I54" s="87"/>
      <c r="J54" s="192"/>
      <c r="K54" s="79" t="s">
        <v>261</v>
      </c>
      <c r="L54" s="89" t="s">
        <v>253</v>
      </c>
      <c r="M54" s="89"/>
      <c r="N54" s="85" t="s">
        <v>333</v>
      </c>
      <c r="O54" s="81"/>
      <c r="P54" s="21"/>
      <c r="Q54" s="4"/>
      <c r="R54" s="4"/>
      <c r="S54" s="4"/>
      <c r="T54" s="4"/>
      <c r="U54" s="4"/>
      <c r="V54" s="4"/>
      <c r="W54" s="22"/>
      <c r="X54" s="35"/>
      <c r="Y54" s="19"/>
      <c r="Z54" s="192"/>
      <c r="AA54" s="79" t="s">
        <v>261</v>
      </c>
      <c r="AB54" s="80" t="s">
        <v>253</v>
      </c>
      <c r="AC54" s="80"/>
      <c r="AD54" s="85" t="s">
        <v>332</v>
      </c>
      <c r="AE54" s="86"/>
      <c r="AF54" s="19"/>
      <c r="AG54" s="4"/>
      <c r="AH54" s="4"/>
      <c r="AI54" s="4"/>
      <c r="AJ54" s="4"/>
      <c r="AK54" s="4"/>
      <c r="AL54" s="4"/>
      <c r="AM54" s="22"/>
      <c r="AN54" s="35"/>
      <c r="AO54" s="19"/>
      <c r="AP54" s="192"/>
      <c r="AQ54" s="79" t="s">
        <v>261</v>
      </c>
      <c r="AR54" s="80" t="s">
        <v>253</v>
      </c>
      <c r="AS54" s="80"/>
      <c r="AT54" s="85" t="s">
        <v>332</v>
      </c>
      <c r="AU54" s="86"/>
      <c r="AV54" s="22"/>
      <c r="AX54" s="19"/>
      <c r="AY54" s="192"/>
      <c r="AZ54" s="79" t="s">
        <v>261</v>
      </c>
      <c r="BA54" s="80" t="s">
        <v>253</v>
      </c>
      <c r="BB54" s="80"/>
      <c r="BC54" s="85" t="s">
        <v>332</v>
      </c>
      <c r="BD54" s="86"/>
      <c r="BE54" s="22"/>
      <c r="BG54" s="19"/>
      <c r="BH54" s="192"/>
      <c r="BI54" s="79" t="s">
        <v>261</v>
      </c>
      <c r="BJ54" s="80" t="s">
        <v>253</v>
      </c>
      <c r="BK54" s="80"/>
      <c r="BL54" s="85" t="s">
        <v>332</v>
      </c>
      <c r="BM54" s="86"/>
      <c r="BN54" s="22"/>
      <c r="BP54" s="19"/>
      <c r="BQ54" s="192"/>
      <c r="BR54" s="79" t="s">
        <v>261</v>
      </c>
      <c r="BS54" s="80" t="s">
        <v>253</v>
      </c>
      <c r="BT54" s="80"/>
      <c r="BU54" s="85" t="s">
        <v>332</v>
      </c>
      <c r="BV54" s="86"/>
      <c r="BW54" s="22"/>
      <c r="BX54" s="35"/>
      <c r="BY54" s="19"/>
      <c r="BZ54" s="192"/>
      <c r="CA54" s="79" t="s">
        <v>261</v>
      </c>
      <c r="CB54" s="80" t="s">
        <v>253</v>
      </c>
      <c r="CC54" s="80"/>
      <c r="CD54" s="85" t="s">
        <v>332</v>
      </c>
      <c r="CE54" s="86"/>
      <c r="CF54" s="19"/>
      <c r="CG54" s="13"/>
      <c r="CH54" s="13"/>
      <c r="CI54" s="13"/>
      <c r="CJ54" s="13"/>
      <c r="CK54" s="13"/>
      <c r="CL54" s="13"/>
      <c r="CM54" s="22"/>
      <c r="CN54" s="35"/>
      <c r="CO54" s="19"/>
      <c r="CP54" s="192"/>
      <c r="CQ54" s="79" t="s">
        <v>261</v>
      </c>
      <c r="CR54" s="80" t="s">
        <v>253</v>
      </c>
      <c r="CS54" s="80"/>
      <c r="CT54" s="85" t="s">
        <v>332</v>
      </c>
      <c r="CU54" s="86"/>
      <c r="CV54" s="22"/>
      <c r="CX54" s="19"/>
      <c r="CY54" s="192"/>
      <c r="CZ54" s="79" t="s">
        <v>261</v>
      </c>
      <c r="DA54" s="80" t="s">
        <v>253</v>
      </c>
      <c r="DB54" s="80"/>
      <c r="DC54" s="85" t="s">
        <v>332</v>
      </c>
      <c r="DD54" s="86"/>
      <c r="DE54" s="22"/>
      <c r="DG54" s="19"/>
      <c r="DH54" s="192"/>
      <c r="DI54" s="79" t="s">
        <v>261</v>
      </c>
      <c r="DJ54" s="80" t="s">
        <v>253</v>
      </c>
      <c r="DK54" s="80"/>
      <c r="DL54" s="85" t="s">
        <v>332</v>
      </c>
      <c r="DM54" s="86"/>
      <c r="DN54" s="21"/>
      <c r="DO54" s="209"/>
      <c r="DP54" s="79" t="s">
        <v>261</v>
      </c>
      <c r="DQ54" s="80" t="s">
        <v>253</v>
      </c>
      <c r="DR54" s="80"/>
      <c r="DS54" s="85" t="s">
        <v>333</v>
      </c>
      <c r="DT54" s="86"/>
      <c r="DU54" s="22"/>
    </row>
    <row r="55" spans="2:125" ht="15.75" thickBot="1">
      <c r="B55" s="19"/>
      <c r="C55" s="193"/>
      <c r="D55" s="82" t="s">
        <v>264</v>
      </c>
      <c r="E55" s="83" t="s">
        <v>253</v>
      </c>
      <c r="F55" s="83"/>
      <c r="G55" s="90" t="s">
        <v>334</v>
      </c>
      <c r="H55" s="91"/>
      <c r="I55" s="87"/>
      <c r="J55" s="193"/>
      <c r="K55" s="82" t="s">
        <v>264</v>
      </c>
      <c r="L55" s="93" t="s">
        <v>253</v>
      </c>
      <c r="M55" s="93"/>
      <c r="N55" s="90" t="s">
        <v>335</v>
      </c>
      <c r="O55" s="84"/>
      <c r="P55" s="21"/>
      <c r="Q55" s="4"/>
      <c r="R55" s="4"/>
      <c r="S55" s="4"/>
      <c r="T55" s="4"/>
      <c r="U55" s="4"/>
      <c r="V55" s="4"/>
      <c r="W55" s="22"/>
      <c r="X55" s="35"/>
      <c r="Y55" s="19"/>
      <c r="Z55" s="193"/>
      <c r="AA55" s="82" t="s">
        <v>264</v>
      </c>
      <c r="AB55" s="83" t="s">
        <v>253</v>
      </c>
      <c r="AC55" s="83"/>
      <c r="AD55" s="90" t="s">
        <v>334</v>
      </c>
      <c r="AE55" s="91"/>
      <c r="AF55" s="19"/>
      <c r="AG55" s="4"/>
      <c r="AH55" s="4"/>
      <c r="AI55" s="4"/>
      <c r="AJ55" s="4"/>
      <c r="AK55" s="4"/>
      <c r="AL55" s="4"/>
      <c r="AM55" s="22"/>
      <c r="AN55" s="35"/>
      <c r="AO55" s="19"/>
      <c r="AP55" s="193"/>
      <c r="AQ55" s="82" t="s">
        <v>264</v>
      </c>
      <c r="AR55" s="83" t="s">
        <v>253</v>
      </c>
      <c r="AS55" s="83"/>
      <c r="AT55" s="90" t="s">
        <v>334</v>
      </c>
      <c r="AU55" s="91"/>
      <c r="AV55" s="22"/>
      <c r="AX55" s="19"/>
      <c r="AY55" s="193"/>
      <c r="AZ55" s="82" t="s">
        <v>264</v>
      </c>
      <c r="BA55" s="83" t="s">
        <v>253</v>
      </c>
      <c r="BB55" s="83"/>
      <c r="BC55" s="90" t="s">
        <v>334</v>
      </c>
      <c r="BD55" s="91"/>
      <c r="BE55" s="22"/>
      <c r="BG55" s="19"/>
      <c r="BH55" s="193"/>
      <c r="BI55" s="82" t="s">
        <v>264</v>
      </c>
      <c r="BJ55" s="83" t="s">
        <v>253</v>
      </c>
      <c r="BK55" s="83"/>
      <c r="BL55" s="90" t="s">
        <v>334</v>
      </c>
      <c r="BM55" s="91"/>
      <c r="BN55" s="22"/>
      <c r="BP55" s="19"/>
      <c r="BQ55" s="193"/>
      <c r="BR55" s="82" t="s">
        <v>264</v>
      </c>
      <c r="BS55" s="83" t="s">
        <v>253</v>
      </c>
      <c r="BT55" s="83"/>
      <c r="BU55" s="90" t="s">
        <v>334</v>
      </c>
      <c r="BV55" s="91"/>
      <c r="BW55" s="22"/>
      <c r="BX55" s="35"/>
      <c r="BY55" s="19"/>
      <c r="BZ55" s="193"/>
      <c r="CA55" s="82" t="s">
        <v>264</v>
      </c>
      <c r="CB55" s="83" t="s">
        <v>253</v>
      </c>
      <c r="CC55" s="83"/>
      <c r="CD55" s="90" t="s">
        <v>334</v>
      </c>
      <c r="CE55" s="91"/>
      <c r="CF55" s="19"/>
      <c r="CG55" s="13"/>
      <c r="CH55" s="13"/>
      <c r="CI55" s="13"/>
      <c r="CJ55" s="13"/>
      <c r="CK55" s="13"/>
      <c r="CL55" s="13"/>
      <c r="CM55" s="22"/>
      <c r="CN55" s="35"/>
      <c r="CO55" s="19"/>
      <c r="CP55" s="193"/>
      <c r="CQ55" s="82" t="s">
        <v>264</v>
      </c>
      <c r="CR55" s="83" t="s">
        <v>253</v>
      </c>
      <c r="CS55" s="83"/>
      <c r="CT55" s="90" t="s">
        <v>334</v>
      </c>
      <c r="CU55" s="91"/>
      <c r="CV55" s="22"/>
      <c r="CX55" s="19"/>
      <c r="CY55" s="193"/>
      <c r="CZ55" s="82" t="s">
        <v>264</v>
      </c>
      <c r="DA55" s="83" t="s">
        <v>253</v>
      </c>
      <c r="DB55" s="83"/>
      <c r="DC55" s="90" t="s">
        <v>334</v>
      </c>
      <c r="DD55" s="91"/>
      <c r="DE55" s="22"/>
      <c r="DG55" s="19"/>
      <c r="DH55" s="193"/>
      <c r="DI55" s="82" t="s">
        <v>264</v>
      </c>
      <c r="DJ55" s="83" t="s">
        <v>253</v>
      </c>
      <c r="DK55" s="83"/>
      <c r="DL55" s="90" t="s">
        <v>334</v>
      </c>
      <c r="DM55" s="91"/>
      <c r="DN55" s="21"/>
      <c r="DO55" s="210"/>
      <c r="DP55" s="82" t="s">
        <v>264</v>
      </c>
      <c r="DQ55" s="83" t="s">
        <v>253</v>
      </c>
      <c r="DR55" s="83"/>
      <c r="DS55" s="90" t="s">
        <v>335</v>
      </c>
      <c r="DT55" s="91"/>
      <c r="DU55" s="22"/>
    </row>
    <row r="56" spans="2:125" ht="15.75" thickBot="1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8"/>
    </row>
    <row r="60" spans="2:125">
      <c r="G60" s="127" t="s">
        <v>336</v>
      </c>
    </row>
    <row r="64" spans="2:125">
      <c r="E64" t="s">
        <v>120</v>
      </c>
      <c r="F64" t="s">
        <v>337</v>
      </c>
      <c r="G64" t="s">
        <v>338</v>
      </c>
      <c r="H64" t="s">
        <v>339</v>
      </c>
    </row>
    <row r="65" spans="5:8">
      <c r="E65">
        <v>1</v>
      </c>
      <c r="F65">
        <v>0</v>
      </c>
      <c r="G65" t="str">
        <f>CONCATENATE("10.0.",TEXT(((BITWISE_AND('IP Address'!$D$20,E65)/4)+7*8),"0"),".",TEXT((BITWISE_AND('IP Address'!$D$21,E65)*64)+F65+41,"0"))</f>
        <v>10.0.56.105</v>
      </c>
      <c r="H65" t="e">
        <f>LOOKUP(G65,$D$22:$DV$56)</f>
        <v>#N/A</v>
      </c>
    </row>
    <row r="66" spans="5:8">
      <c r="E66">
        <v>1</v>
      </c>
      <c r="F66">
        <v>1</v>
      </c>
      <c r="G66" t="str">
        <f>CONCATENATE("10.0.",TEXT(((BITWISE_AND('IP Address'!$D$20,E66)/4)+7*8),"0"),".",TEXT((BITWISE_AND('IP Address'!$D$21,E66)*64)+F66+41,"0"))</f>
        <v>10.0.56.106</v>
      </c>
      <c r="H66" t="e">
        <f t="shared" ref="H66:H92" si="0">LOOKUP(G66,$D$22:$DV$56)</f>
        <v>#N/A</v>
      </c>
    </row>
    <row r="67" spans="5:8">
      <c r="E67">
        <v>1</v>
      </c>
      <c r="F67">
        <v>2</v>
      </c>
      <c r="G67" t="str">
        <f>CONCATENATE("10.0.",TEXT(((BITWISE_AND('IP Address'!$D$20,E67)/4)+7*8),"0"),".",TEXT((BITWISE_AND('IP Address'!$D$21,E67)*64)+F67+41,"0"))</f>
        <v>10.0.56.107</v>
      </c>
      <c r="H67" t="e">
        <f t="shared" si="0"/>
        <v>#N/A</v>
      </c>
    </row>
    <row r="68" spans="5:8">
      <c r="E68">
        <v>1</v>
      </c>
      <c r="F68">
        <v>3</v>
      </c>
      <c r="G68" t="str">
        <f>CONCATENATE("10.0.",TEXT(((BITWISE_AND('IP Address'!$D$20,E68)/4)+7*8),"0"),".",TEXT((BITWISE_AND('IP Address'!$D$21,E68)*64)+F68+41,"0"))</f>
        <v>10.0.56.108</v>
      </c>
      <c r="H68" t="e">
        <f t="shared" si="0"/>
        <v>#N/A</v>
      </c>
    </row>
    <row r="69" spans="5:8">
      <c r="E69">
        <v>2</v>
      </c>
      <c r="F69">
        <v>0</v>
      </c>
      <c r="G69" t="str">
        <f>CONCATENATE("10.0.",TEXT(((BITWISE_AND('IP Address'!$D$20,E69)/4)+7*8),"0"),".",TEXT((BITWISE_AND('IP Address'!$D$21,E69)*64)+F69+41,"0"))</f>
        <v>10.0.56.169</v>
      </c>
      <c r="H69" t="e">
        <f t="shared" si="0"/>
        <v>#N/A</v>
      </c>
    </row>
    <row r="70" spans="5:8">
      <c r="E70">
        <v>2</v>
      </c>
      <c r="F70">
        <v>1</v>
      </c>
      <c r="G70" t="str">
        <f>CONCATENATE("10.0.",TEXT(((BITWISE_AND('IP Address'!$D$20,E70)/4)+7*8),"0"),".",TEXT((BITWISE_AND('IP Address'!$D$21,E70)*64)+F70+41,"0"))</f>
        <v>10.0.56.170</v>
      </c>
      <c r="H70" t="e">
        <f t="shared" si="0"/>
        <v>#N/A</v>
      </c>
    </row>
    <row r="71" spans="5:8">
      <c r="E71">
        <v>2</v>
      </c>
      <c r="F71">
        <v>2</v>
      </c>
      <c r="G71" t="str">
        <f>CONCATENATE("10.0.",TEXT(((BITWISE_AND('IP Address'!$D$20,E71)/4)+7*8),"0"),".",TEXT((BITWISE_AND('IP Address'!$D$21,E71)*64)+F71+41,"0"))</f>
        <v>10.0.56.171</v>
      </c>
      <c r="H71" t="e">
        <f t="shared" si="0"/>
        <v>#N/A</v>
      </c>
    </row>
    <row r="72" spans="5:8">
      <c r="E72">
        <v>2</v>
      </c>
      <c r="F72">
        <v>3</v>
      </c>
      <c r="G72" t="str">
        <f>CONCATENATE("10.0.",TEXT(((BITWISE_AND('IP Address'!$D$20,E72)/4)+7*8),"0"),".",TEXT((BITWISE_AND('IP Address'!$D$21,E72)*64)+F72+41,"0"))</f>
        <v>10.0.56.172</v>
      </c>
      <c r="H72" t="e">
        <f t="shared" si="0"/>
        <v>#N/A</v>
      </c>
    </row>
    <row r="73" spans="5:8">
      <c r="E73">
        <v>3</v>
      </c>
      <c r="F73">
        <v>0</v>
      </c>
      <c r="G73" t="str">
        <f>CONCATENATE("10.0.",TEXT(((BITWISE_AND('IP Address'!$D$20,E73)/4)+7*8),"0"),".",TEXT((BITWISE_AND('IP Address'!$D$21,E73)*64)+F73+41,"0"))</f>
        <v>10.0.56.233</v>
      </c>
      <c r="H73" t="e">
        <f t="shared" si="0"/>
        <v>#N/A</v>
      </c>
    </row>
    <row r="74" spans="5:8">
      <c r="E74">
        <v>3</v>
      </c>
      <c r="F74">
        <v>1</v>
      </c>
      <c r="G74" t="str">
        <f>CONCATENATE("10.0.",TEXT(((BITWISE_AND('IP Address'!$D$20,E74)/4)+7*8),"0"),".",TEXT((BITWISE_AND('IP Address'!$D$21,E74)*64)+F74+41,"0"))</f>
        <v>10.0.56.234</v>
      </c>
      <c r="H74" t="e">
        <f t="shared" si="0"/>
        <v>#N/A</v>
      </c>
    </row>
    <row r="75" spans="5:8">
      <c r="E75">
        <v>3</v>
      </c>
      <c r="F75">
        <v>2</v>
      </c>
      <c r="G75" t="str">
        <f>CONCATENATE("10.0.",TEXT(((BITWISE_AND('IP Address'!$D$20,E75)/4)+7*8),"0"),".",TEXT((BITWISE_AND('IP Address'!$D$21,E75)*64)+F75+41,"0"))</f>
        <v>10.0.56.235</v>
      </c>
      <c r="H75" t="e">
        <f t="shared" si="0"/>
        <v>#N/A</v>
      </c>
    </row>
    <row r="76" spans="5:8">
      <c r="E76">
        <v>3</v>
      </c>
      <c r="F76">
        <v>3</v>
      </c>
      <c r="G76" t="str">
        <f>CONCATENATE("10.0.",TEXT(((BITWISE_AND('IP Address'!$D$20,E76)/4)+7*8),"0"),".",TEXT((BITWISE_AND('IP Address'!$D$21,E76)*64)+F76+41,"0"))</f>
        <v>10.0.56.236</v>
      </c>
      <c r="H76" t="e">
        <f t="shared" si="0"/>
        <v>#N/A</v>
      </c>
    </row>
    <row r="77" spans="5:8">
      <c r="E77">
        <v>4</v>
      </c>
      <c r="F77">
        <v>0</v>
      </c>
      <c r="G77" t="str">
        <f>CONCATENATE("10.0.",TEXT(((BITWISE_AND('IP Address'!$D$20,E77)/4)+7*8),"0"),".",TEXT((BITWISE_AND('IP Address'!$D$21,E77)*64)+F77+41,"0"))</f>
        <v>10.0.57.41</v>
      </c>
      <c r="H77" t="e">
        <f t="shared" si="0"/>
        <v>#N/A</v>
      </c>
    </row>
    <row r="78" spans="5:8">
      <c r="E78">
        <v>4</v>
      </c>
      <c r="F78">
        <v>1</v>
      </c>
      <c r="G78" t="str">
        <f>CONCATENATE("10.0.",TEXT(((BITWISE_AND('IP Address'!$D$20,E78)/4)+7*8),"0"),".",TEXT((BITWISE_AND('IP Address'!$D$21,E78)*64)+F78+41,"0"))</f>
        <v>10.0.57.42</v>
      </c>
      <c r="H78" t="e">
        <f t="shared" si="0"/>
        <v>#N/A</v>
      </c>
    </row>
    <row r="79" spans="5:8">
      <c r="E79">
        <v>4</v>
      </c>
      <c r="F79">
        <v>2</v>
      </c>
      <c r="G79" t="str">
        <f>CONCATENATE("10.0.",TEXT(((BITWISE_AND('IP Address'!$D$20,E79)/4)+7*8),"0"),".",TEXT((BITWISE_AND('IP Address'!$D$21,E79)*64)+F79+41,"0"))</f>
        <v>10.0.57.43</v>
      </c>
      <c r="H79" t="e">
        <f t="shared" si="0"/>
        <v>#N/A</v>
      </c>
    </row>
    <row r="80" spans="5:8">
      <c r="E80">
        <v>4</v>
      </c>
      <c r="F80">
        <v>3</v>
      </c>
      <c r="G80" t="str">
        <f>CONCATENATE("10.0.",TEXT(((BITWISE_AND('IP Address'!$D$20,E80)/4)+7*8),"0"),".",TEXT((BITWISE_AND('IP Address'!$D$21,E80)*64)+F80+41,"0"))</f>
        <v>10.0.57.44</v>
      </c>
      <c r="H80" t="e">
        <f t="shared" si="0"/>
        <v>#N/A</v>
      </c>
    </row>
    <row r="81" spans="5:8">
      <c r="E81">
        <v>5</v>
      </c>
      <c r="F81">
        <v>0</v>
      </c>
      <c r="G81" t="str">
        <f>CONCATENATE("10.0.",TEXT(((BITWISE_AND('IP Address'!$D$20,E81)/4)+7*8),"0"),".",TEXT((BITWISE_AND('IP Address'!$D$21,E81)*64)+F81+41,"0"))</f>
        <v>10.0.57.105</v>
      </c>
      <c r="H81" t="e">
        <f t="shared" si="0"/>
        <v>#N/A</v>
      </c>
    </row>
    <row r="82" spans="5:8">
      <c r="E82">
        <v>5</v>
      </c>
      <c r="F82">
        <v>1</v>
      </c>
      <c r="G82" t="str">
        <f>CONCATENATE("10.0.",TEXT(((BITWISE_AND('IP Address'!$D$20,E82)/4)+7*8),"0"),".",TEXT((BITWISE_AND('IP Address'!$D$21,E82)*64)+F82+41,"0"))</f>
        <v>10.0.57.106</v>
      </c>
      <c r="H82" t="e">
        <f t="shared" si="0"/>
        <v>#N/A</v>
      </c>
    </row>
    <row r="83" spans="5:8">
      <c r="E83">
        <v>5</v>
      </c>
      <c r="F83">
        <v>2</v>
      </c>
      <c r="G83" t="str">
        <f>CONCATENATE("10.0.",TEXT(((BITWISE_AND('IP Address'!$D$20,E83)/4)+7*8),"0"),".",TEXT((BITWISE_AND('IP Address'!$D$21,E83)*64)+F83+41,"0"))</f>
        <v>10.0.57.107</v>
      </c>
      <c r="H83" t="e">
        <f t="shared" si="0"/>
        <v>#N/A</v>
      </c>
    </row>
    <row r="84" spans="5:8">
      <c r="E84">
        <v>5</v>
      </c>
      <c r="F84">
        <v>3</v>
      </c>
      <c r="G84" t="str">
        <f>CONCATENATE("10.0.",TEXT(((BITWISE_AND('IP Address'!$D$20,E84)/4)+7*8),"0"),".",TEXT((BITWISE_AND('IP Address'!$D$21,E84)*64)+F84+41,"0"))</f>
        <v>10.0.57.108</v>
      </c>
      <c r="H84" t="e">
        <f t="shared" si="0"/>
        <v>#N/A</v>
      </c>
    </row>
    <row r="85" spans="5:8">
      <c r="E85">
        <v>6</v>
      </c>
      <c r="F85">
        <v>0</v>
      </c>
      <c r="G85" t="str">
        <f>CONCATENATE("10.0.",TEXT(((BITWISE_AND('IP Address'!$D$20,E85)/4)+7*8),"0"),".",TEXT((BITWISE_AND('IP Address'!$D$21,E85)*64)+F85+41,"0"))</f>
        <v>10.0.57.169</v>
      </c>
      <c r="H85" t="e">
        <f t="shared" si="0"/>
        <v>#N/A</v>
      </c>
    </row>
    <row r="86" spans="5:8">
      <c r="E86">
        <v>6</v>
      </c>
      <c r="F86">
        <v>1</v>
      </c>
      <c r="G86" t="str">
        <f>CONCATENATE("10.0.",TEXT(((BITWISE_AND('IP Address'!$D$20,E86)/4)+7*8),"0"),".",TEXT((BITWISE_AND('IP Address'!$D$21,E86)*64)+F86+41,"0"))</f>
        <v>10.0.57.170</v>
      </c>
      <c r="H86" t="e">
        <f t="shared" si="0"/>
        <v>#N/A</v>
      </c>
    </row>
    <row r="87" spans="5:8">
      <c r="E87">
        <v>6</v>
      </c>
      <c r="F87">
        <v>2</v>
      </c>
      <c r="G87" t="str">
        <f>CONCATENATE("10.0.",TEXT(((BITWISE_AND('IP Address'!$D$20,E87)/4)+7*8),"0"),".",TEXT((BITWISE_AND('IP Address'!$D$21,E87)*64)+F87+41,"0"))</f>
        <v>10.0.57.171</v>
      </c>
      <c r="H87" t="e">
        <f t="shared" si="0"/>
        <v>#N/A</v>
      </c>
    </row>
    <row r="88" spans="5:8">
      <c r="E88">
        <v>6</v>
      </c>
      <c r="F88">
        <v>3</v>
      </c>
      <c r="G88" t="str">
        <f>CONCATENATE("10.0.",TEXT(((BITWISE_AND('IP Address'!$D$20,E88)/4)+7*8),"0"),".",TEXT((BITWISE_AND('IP Address'!$D$21,E88)*64)+F88+41,"0"))</f>
        <v>10.0.57.172</v>
      </c>
      <c r="H88" t="e">
        <f t="shared" si="0"/>
        <v>#N/A</v>
      </c>
    </row>
    <row r="89" spans="5:8">
      <c r="E89">
        <v>7</v>
      </c>
      <c r="F89">
        <v>0</v>
      </c>
      <c r="G89" t="str">
        <f>CONCATENATE("10.0.",TEXT(((BITWISE_AND('IP Address'!$D$20,E89)/4)+7*8),"0"),".",TEXT((BITWISE_AND('IP Address'!$D$21,E89)*64)+F89+41,"0"))</f>
        <v>10.0.57.233</v>
      </c>
      <c r="H89" t="e">
        <f t="shared" si="0"/>
        <v>#N/A</v>
      </c>
    </row>
    <row r="90" spans="5:8">
      <c r="E90">
        <v>7</v>
      </c>
      <c r="F90">
        <v>1</v>
      </c>
      <c r="G90" t="str">
        <f>CONCATENATE("10.0.",TEXT(((BITWISE_AND('IP Address'!$D$20,E90)/4)+7*8),"0"),".",TEXT((BITWISE_AND('IP Address'!$D$21,E90)*64)+F90+41,"0"))</f>
        <v>10.0.57.234</v>
      </c>
      <c r="H90" t="e">
        <f t="shared" si="0"/>
        <v>#N/A</v>
      </c>
    </row>
    <row r="91" spans="5:8">
      <c r="E91">
        <v>7</v>
      </c>
      <c r="F91">
        <v>2</v>
      </c>
      <c r="G91" t="str">
        <f>CONCATENATE("10.0.",TEXT(((BITWISE_AND('IP Address'!$D$20,E91)/4)+7*8),"0"),".",TEXT((BITWISE_AND('IP Address'!$D$21,E91)*64)+F91+41,"0"))</f>
        <v>10.0.57.235</v>
      </c>
      <c r="H91" t="e">
        <f t="shared" si="0"/>
        <v>#N/A</v>
      </c>
    </row>
    <row r="92" spans="5:8">
      <c r="E92">
        <v>7</v>
      </c>
      <c r="F92">
        <v>3</v>
      </c>
      <c r="G92" t="str">
        <f>CONCATENATE("10.0.",TEXT(((BITWISE_AND('IP Address'!$D$20,E92)/4)+7*8),"0"),".",TEXT((BITWISE_AND('IP Address'!$D$21,E92)*64)+F92+41,"0"))</f>
        <v>10.0.57.236</v>
      </c>
      <c r="H92" t="e">
        <f t="shared" si="0"/>
        <v>#N/A</v>
      </c>
    </row>
    <row r="93" spans="5:8">
      <c r="E93">
        <v>8</v>
      </c>
      <c r="F93">
        <v>0</v>
      </c>
      <c r="G93" t="str">
        <f>CONCATENATE("10.0.",TEXT(((BITWISE_AND('IP Address'!$D$20,E93)/4)+7*8),"0"),".",TEXT((BITWISE_AND('IP Address'!$D$21,E93)*64)+F93+41,"0"))</f>
        <v>10.0.58.41</v>
      </c>
      <c r="H93" t="e">
        <f t="shared" ref="H93:H112" si="1">LOOKUP(G93,$D$22:$DV$56)</f>
        <v>#N/A</v>
      </c>
    </row>
    <row r="94" spans="5:8">
      <c r="E94">
        <v>8</v>
      </c>
      <c r="F94">
        <v>1</v>
      </c>
      <c r="G94" t="str">
        <f>CONCATENATE("10.0.",TEXT(((BITWISE_AND('IP Address'!$D$20,E94)/4)+7*8),"0"),".",TEXT((BITWISE_AND('IP Address'!$D$21,E94)*64)+F94+41,"0"))</f>
        <v>10.0.58.42</v>
      </c>
      <c r="H94" t="e">
        <f t="shared" si="1"/>
        <v>#N/A</v>
      </c>
    </row>
    <row r="95" spans="5:8">
      <c r="E95">
        <v>8</v>
      </c>
      <c r="F95">
        <v>2</v>
      </c>
      <c r="G95" t="str">
        <f>CONCATENATE("10.0.",TEXT(((BITWISE_AND('IP Address'!$D$20,E95)/4)+7*8),"0"),".",TEXT((BITWISE_AND('IP Address'!$D$21,E95)*64)+F95+41,"0"))</f>
        <v>10.0.58.43</v>
      </c>
      <c r="H95" t="e">
        <f t="shared" si="1"/>
        <v>#N/A</v>
      </c>
    </row>
    <row r="96" spans="5:8">
      <c r="E96">
        <v>8</v>
      </c>
      <c r="F96">
        <v>3</v>
      </c>
      <c r="G96" t="str">
        <f>CONCATENATE("10.0.",TEXT(((BITWISE_AND('IP Address'!$D$20,E96)/4)+7*8),"0"),".",TEXT((BITWISE_AND('IP Address'!$D$21,E96)*64)+F96+41,"0"))</f>
        <v>10.0.58.44</v>
      </c>
      <c r="H96" t="e">
        <f t="shared" si="1"/>
        <v>#N/A</v>
      </c>
    </row>
    <row r="97" spans="5:8">
      <c r="E97">
        <v>9</v>
      </c>
      <c r="F97">
        <v>0</v>
      </c>
      <c r="G97" t="str">
        <f>CONCATENATE("10.0.",TEXT(((BITWISE_AND('IP Address'!$D$20,E97)/4)+7*8),"0"),".",TEXT((BITWISE_AND('IP Address'!$D$21,E97)*64)+F97+41,"0"))</f>
        <v>10.0.58.105</v>
      </c>
      <c r="H97" t="e">
        <f t="shared" si="1"/>
        <v>#N/A</v>
      </c>
    </row>
    <row r="98" spans="5:8">
      <c r="E98">
        <v>9</v>
      </c>
      <c r="F98">
        <v>1</v>
      </c>
      <c r="G98" t="str">
        <f>CONCATENATE("10.0.",TEXT(((BITWISE_AND('IP Address'!$D$20,E98)/4)+7*8),"0"),".",TEXT((BITWISE_AND('IP Address'!$D$21,E98)*64)+F98+41,"0"))</f>
        <v>10.0.58.106</v>
      </c>
      <c r="H98" t="e">
        <f t="shared" si="1"/>
        <v>#N/A</v>
      </c>
    </row>
    <row r="99" spans="5:8">
      <c r="E99">
        <v>9</v>
      </c>
      <c r="F99">
        <v>2</v>
      </c>
      <c r="G99" t="str">
        <f>CONCATENATE("10.0.",TEXT(((BITWISE_AND('IP Address'!$D$20,E99)/4)+7*8),"0"),".",TEXT((BITWISE_AND('IP Address'!$D$21,E99)*64)+F99+41,"0"))</f>
        <v>10.0.58.107</v>
      </c>
      <c r="H99" t="e">
        <f t="shared" si="1"/>
        <v>#N/A</v>
      </c>
    </row>
    <row r="100" spans="5:8">
      <c r="E100">
        <v>9</v>
      </c>
      <c r="F100">
        <v>3</v>
      </c>
      <c r="G100" t="str">
        <f>CONCATENATE("10.0.",TEXT(((BITWISE_AND('IP Address'!$D$20,E100)/4)+7*8),"0"),".",TEXT((BITWISE_AND('IP Address'!$D$21,E100)*64)+F100+41,"0"))</f>
        <v>10.0.58.108</v>
      </c>
      <c r="H100" t="e">
        <f t="shared" si="1"/>
        <v>#N/A</v>
      </c>
    </row>
    <row r="101" spans="5:8">
      <c r="E101">
        <v>10</v>
      </c>
      <c r="F101">
        <v>0</v>
      </c>
      <c r="G101" t="str">
        <f>CONCATENATE("10.0.",TEXT(((BITWISE_AND('IP Address'!$D$20,E101)/4)+7*8),"0"),".",TEXT((BITWISE_AND('IP Address'!$D$21,E101)*64)+F101+41,"0"))</f>
        <v>10.0.58.169</v>
      </c>
      <c r="H101" t="e">
        <f t="shared" si="1"/>
        <v>#N/A</v>
      </c>
    </row>
    <row r="102" spans="5:8">
      <c r="E102">
        <v>10</v>
      </c>
      <c r="F102">
        <v>1</v>
      </c>
      <c r="G102" t="str">
        <f>CONCATENATE("10.0.",TEXT(((BITWISE_AND('IP Address'!$D$20,E102)/4)+7*8),"0"),".",TEXT((BITWISE_AND('IP Address'!$D$21,E102)*64)+F102+41,"0"))</f>
        <v>10.0.58.170</v>
      </c>
      <c r="H102" t="e">
        <f t="shared" si="1"/>
        <v>#N/A</v>
      </c>
    </row>
    <row r="103" spans="5:8">
      <c r="E103">
        <v>10</v>
      </c>
      <c r="F103">
        <v>2</v>
      </c>
      <c r="G103" t="str">
        <f>CONCATENATE("10.0.",TEXT(((BITWISE_AND('IP Address'!$D$20,E103)/4)+7*8),"0"),".",TEXT((BITWISE_AND('IP Address'!$D$21,E103)*64)+F103+41,"0"))</f>
        <v>10.0.58.171</v>
      </c>
      <c r="H103" t="e">
        <f t="shared" si="1"/>
        <v>#N/A</v>
      </c>
    </row>
    <row r="104" spans="5:8">
      <c r="E104">
        <v>10</v>
      </c>
      <c r="F104">
        <v>3</v>
      </c>
      <c r="G104" t="str">
        <f>CONCATENATE("10.0.",TEXT(((BITWISE_AND('IP Address'!$D$20,E104)/4)+7*8),"0"),".",TEXT((BITWISE_AND('IP Address'!$D$21,E104)*64)+F104+41,"0"))</f>
        <v>10.0.58.172</v>
      </c>
      <c r="H104" t="e">
        <f t="shared" si="1"/>
        <v>#N/A</v>
      </c>
    </row>
    <row r="105" spans="5:8">
      <c r="E105">
        <v>11</v>
      </c>
      <c r="F105">
        <v>0</v>
      </c>
      <c r="G105" t="str">
        <f>CONCATENATE("10.0.",TEXT(((BITWISE_AND('IP Address'!$D$20,E105)/4)+7*8),"0"),".",TEXT((BITWISE_AND('IP Address'!$D$21,E105)*64)+F105+41,"0"))</f>
        <v>10.0.58.233</v>
      </c>
      <c r="H105" t="e">
        <f t="shared" si="1"/>
        <v>#N/A</v>
      </c>
    </row>
    <row r="106" spans="5:8">
      <c r="E106">
        <v>11</v>
      </c>
      <c r="F106">
        <v>1</v>
      </c>
      <c r="G106" t="str">
        <f>CONCATENATE("10.0.",TEXT(((BITWISE_AND('IP Address'!$D$20,E106)/4)+7*8),"0"),".",TEXT((BITWISE_AND('IP Address'!$D$21,E106)*64)+F106+41,"0"))</f>
        <v>10.0.58.234</v>
      </c>
      <c r="H106" t="e">
        <f t="shared" si="1"/>
        <v>#N/A</v>
      </c>
    </row>
    <row r="107" spans="5:8">
      <c r="E107">
        <v>11</v>
      </c>
      <c r="F107">
        <v>2</v>
      </c>
      <c r="G107" t="str">
        <f>CONCATENATE("10.0.",TEXT(((BITWISE_AND('IP Address'!$D$20,E107)/4)+7*8),"0"),".",TEXT((BITWISE_AND('IP Address'!$D$21,E107)*64)+F107+41,"0"))</f>
        <v>10.0.58.235</v>
      </c>
      <c r="H107" t="e">
        <f t="shared" si="1"/>
        <v>#N/A</v>
      </c>
    </row>
    <row r="108" spans="5:8">
      <c r="E108">
        <v>11</v>
      </c>
      <c r="F108">
        <v>3</v>
      </c>
      <c r="G108" t="str">
        <f>CONCATENATE("10.0.",TEXT(((BITWISE_AND('IP Address'!$D$20,E108)/4)+7*8),"0"),".",TEXT((BITWISE_AND('IP Address'!$D$21,E108)*64)+F108+41,"0"))</f>
        <v>10.0.58.236</v>
      </c>
      <c r="H108" t="e">
        <f t="shared" si="1"/>
        <v>#N/A</v>
      </c>
    </row>
    <row r="109" spans="5:8">
      <c r="E109">
        <v>12</v>
      </c>
      <c r="F109">
        <v>0</v>
      </c>
      <c r="G109" t="str">
        <f>CONCATENATE("10.0.",TEXT(((BITWISE_AND('IP Address'!$D$20,E109)/4)+7*8),"0"),".",TEXT((BITWISE_AND('IP Address'!$D$21,E109)*64)+F109+41,"0"))</f>
        <v>10.0.59.41</v>
      </c>
      <c r="H109" t="e">
        <f t="shared" si="1"/>
        <v>#N/A</v>
      </c>
    </row>
    <row r="110" spans="5:8">
      <c r="E110">
        <v>12</v>
      </c>
      <c r="F110">
        <v>1</v>
      </c>
      <c r="G110" t="str">
        <f>CONCATENATE("10.0.",TEXT(((BITWISE_AND('IP Address'!$D$20,E110)/4)+7*8),"0"),".",TEXT((BITWISE_AND('IP Address'!$D$21,E110)*64)+F110+41,"0"))</f>
        <v>10.0.59.42</v>
      </c>
      <c r="H110" t="e">
        <f t="shared" si="1"/>
        <v>#N/A</v>
      </c>
    </row>
    <row r="111" spans="5:8">
      <c r="E111">
        <v>12</v>
      </c>
      <c r="F111">
        <v>2</v>
      </c>
      <c r="G111" t="str">
        <f>CONCATENATE("10.0.",TEXT(((BITWISE_AND('IP Address'!$D$20,E111)/4)+7*8),"0"),".",TEXT((BITWISE_AND('IP Address'!$D$21,E111)*64)+F111+41,"0"))</f>
        <v>10.0.59.43</v>
      </c>
      <c r="H111" t="e">
        <f t="shared" si="1"/>
        <v>#N/A</v>
      </c>
    </row>
    <row r="112" spans="5:8">
      <c r="E112">
        <v>12</v>
      </c>
      <c r="F112">
        <v>3</v>
      </c>
      <c r="G112" t="str">
        <f>CONCATENATE("10.0.",TEXT(((BITWISE_AND('IP Address'!$D$20,E112)/4)+7*8),"0"),".",TEXT((BITWISE_AND('IP Address'!$D$21,E112)*64)+F112+41,"0"))</f>
        <v>10.0.59.44</v>
      </c>
      <c r="H112" t="e">
        <f t="shared" si="1"/>
        <v>#N/A</v>
      </c>
    </row>
  </sheetData>
  <mergeCells count="78">
    <mergeCell ref="BZ41:CD41"/>
    <mergeCell ref="BQ41:BU41"/>
    <mergeCell ref="BH41:BL41"/>
    <mergeCell ref="BH23:BL23"/>
    <mergeCell ref="BQ23:BU23"/>
    <mergeCell ref="CY23:DC23"/>
    <mergeCell ref="DH23:DL23"/>
    <mergeCell ref="DO23:DS23"/>
    <mergeCell ref="CY19:DB19"/>
    <mergeCell ref="DH19:DK19"/>
    <mergeCell ref="DG20:DU20"/>
    <mergeCell ref="CX20:DE20"/>
    <mergeCell ref="CP43:CP55"/>
    <mergeCell ref="BZ43:BZ55"/>
    <mergeCell ref="Q43:Q51"/>
    <mergeCell ref="AX20:BE20"/>
    <mergeCell ref="BG20:BN20"/>
    <mergeCell ref="BP20:BW20"/>
    <mergeCell ref="BY20:CM20"/>
    <mergeCell ref="CG25:CG33"/>
    <mergeCell ref="CG43:CG51"/>
    <mergeCell ref="Q23:U23"/>
    <mergeCell ref="Z23:AD23"/>
    <mergeCell ref="AG23:AK23"/>
    <mergeCell ref="AP23:AT23"/>
    <mergeCell ref="AY23:BC23"/>
    <mergeCell ref="CO20:CV20"/>
    <mergeCell ref="CG41:CK41"/>
    <mergeCell ref="DO43:DO55"/>
    <mergeCell ref="DH43:DH55"/>
    <mergeCell ref="CY43:CY55"/>
    <mergeCell ref="DO41:DS41"/>
    <mergeCell ref="DH41:DL41"/>
    <mergeCell ref="CY41:DC41"/>
    <mergeCell ref="DH25:DH37"/>
    <mergeCell ref="DO25:DO37"/>
    <mergeCell ref="CY25:CY37"/>
    <mergeCell ref="CP41:CT41"/>
    <mergeCell ref="C19:F19"/>
    <mergeCell ref="Z19:AC19"/>
    <mergeCell ref="AP19:AS19"/>
    <mergeCell ref="B20:W20"/>
    <mergeCell ref="Q25:Q33"/>
    <mergeCell ref="C25:C37"/>
    <mergeCell ref="J25:J37"/>
    <mergeCell ref="C23:G23"/>
    <mergeCell ref="J23:N23"/>
    <mergeCell ref="AY19:BB19"/>
    <mergeCell ref="BH19:BK19"/>
    <mergeCell ref="BZ19:CC19"/>
    <mergeCell ref="CP19:CS19"/>
    <mergeCell ref="AG25:AG33"/>
    <mergeCell ref="Y20:AM20"/>
    <mergeCell ref="AO20:AV20"/>
    <mergeCell ref="CP25:CP37"/>
    <mergeCell ref="BZ25:BZ37"/>
    <mergeCell ref="BQ25:BQ37"/>
    <mergeCell ref="AP25:AP37"/>
    <mergeCell ref="Z25:Z37"/>
    <mergeCell ref="BZ23:CD23"/>
    <mergeCell ref="CG23:CK23"/>
    <mergeCell ref="CP23:CT23"/>
    <mergeCell ref="BQ19:BT19"/>
    <mergeCell ref="C43:C55"/>
    <mergeCell ref="J43:J55"/>
    <mergeCell ref="BQ43:BQ55"/>
    <mergeCell ref="BH25:BH37"/>
    <mergeCell ref="BH43:BH55"/>
    <mergeCell ref="AY25:AY37"/>
    <mergeCell ref="AY43:AY55"/>
    <mergeCell ref="AP43:AP55"/>
    <mergeCell ref="Z43:Z55"/>
    <mergeCell ref="AY41:BC41"/>
    <mergeCell ref="AP41:AT41"/>
    <mergeCell ref="Z41:AD41"/>
    <mergeCell ref="Q41:U41"/>
    <mergeCell ref="J41:N41"/>
    <mergeCell ref="C41:G41"/>
  </mergeCells>
  <conditionalFormatting sqref="M24:M33 M42:M51 T24:T33 T42:T51 AJ24:AJ33 AS24:AS33 AS42:AS51 BB24:BB33 BB42:BB51 BK24:BK33 BK42:BK51 BT24:BT33 BQ41 BT42:BT51 CC24:CC33 CC42:CC51 CJ24:CJ33 CJ42:CJ51 CS24:CS33 CS42:CS51 DB24:DB33 DB42:DB51 DK24:DK33 DK42:DK51 DR24:DR33 DR42:DR51 F24:F33 F42:F51 AC24:AC33 AC42:AC52">
    <cfRule type="expression" dxfId="20" priority="1">
      <formula>F24=7</formula>
    </cfRule>
    <cfRule type="expression" dxfId="19" priority="2">
      <formula>F24=6</formula>
    </cfRule>
    <cfRule type="expression" dxfId="18" priority="3">
      <formula>F24=5</formula>
    </cfRule>
    <cfRule type="expression" dxfId="17" priority="4">
      <formula>F24=4</formula>
    </cfRule>
    <cfRule type="expression" dxfId="16" priority="5">
      <formula>F24=3</formula>
    </cfRule>
    <cfRule type="expression" dxfId="15" priority="6">
      <formula>F24=2</formula>
    </cfRule>
    <cfRule type="expression" dxfId="14" priority="7">
      <formula>F24=0</formula>
    </cfRule>
    <cfRule type="expression" dxfId="13" priority="8">
      <formula>F24=1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whole" allowBlank="1" showInputMessage="1" showErrorMessage="1" xr:uid="{E09ED74F-F7A3-41FC-9F0C-EBE6FFC78E5C}">
          <x14:formula1>
            <xm:f>'IP Address'!#REF!</xm:f>
          </x14:formula1>
          <x14:formula2>
            <xm:f>'IP Address'!#REF!</xm:f>
          </x14:formula2>
          <xm:sqref>F33 F24:F25 F27:F31</xm:sqref>
        </x14:dataValidation>
        <x14:dataValidation type="whole" allowBlank="1" showInputMessage="1" showErrorMessage="1" xr:uid="{8356FF97-64C4-45E0-98AF-B38427EA1F95}">
          <x14:formula1>
            <xm:f>'IP Address'!#REF!</xm:f>
          </x14:formula1>
          <x14:formula2>
            <xm:f>'IP Address'!P39</xm:f>
          </x14:formula2>
          <xm:sqref>M54</xm:sqref>
        </x14:dataValidation>
        <x14:dataValidation type="whole" allowBlank="1" showInputMessage="1" showErrorMessage="1" xr:uid="{ABD63C97-8E01-4381-9A42-7AE8B4E87C01}">
          <x14:formula1>
            <xm:f>'IP Address'!#REF!</xm:f>
          </x14:formula1>
          <x14:formula2>
            <xm:f>'IP Address'!P39</xm:f>
          </x14:formula2>
          <xm:sqref>M55</xm:sqref>
        </x14:dataValidation>
        <x14:dataValidation type="whole" allowBlank="1" showInputMessage="1" showErrorMessage="1" xr:uid="{9A87A0C7-4010-4374-A818-644362D80005}">
          <x14:formula1>
            <xm:f>'IP Address'!AH24</xm:f>
          </x14:formula1>
          <x14:formula2>
            <xm:f>'IP Address'!AH39</xm:f>
          </x14:formula2>
          <xm:sqref>DR54 AJ54 AC54 AS54 BB54 BK54 BT54 CC54 CS54 DB54 DK54</xm:sqref>
        </x14:dataValidation>
        <x14:dataValidation type="whole" allowBlank="1" showInputMessage="1" showErrorMessage="1" xr:uid="{F86417FE-6ECF-4E21-B74A-7CD099A8A8FB}">
          <x14:formula1>
            <xm:f>'IP Address'!AH24</xm:f>
          </x14:formula1>
          <x14:formula2>
            <xm:f>'IP Address'!AH39</xm:f>
          </x14:formula2>
          <xm:sqref>DR55 AJ55 AC55 AS55 BB55 BK55 BT55 CC55 CS55 DB55 DK55</xm:sqref>
        </x14:dataValidation>
        <x14:dataValidation type="whole" allowBlank="1" showInputMessage="1" showErrorMessage="1" xr:uid="{DA69FFED-2A5D-4882-ABEB-EEC8FD4B1FCE}">
          <x14:formula1>
            <xm:f>'IP Address'!I24</xm:f>
          </x14:formula1>
          <x14:formula2>
            <xm:f>'IP Address'!I39</xm:f>
          </x14:formula2>
          <xm:sqref>F54</xm:sqref>
        </x14:dataValidation>
        <x14:dataValidation type="whole" allowBlank="1" showInputMessage="1" showErrorMessage="1" xr:uid="{AE1FB007-975A-4923-A67A-6050780AE24B}">
          <x14:formula1>
            <xm:f>'IP Address'!I24</xm:f>
          </x14:formula1>
          <x14:formula2>
            <xm:f>'IP Address'!I39</xm:f>
          </x14:formula2>
          <xm:sqref>F55</xm:sqref>
        </x14:dataValidation>
        <x14:dataValidation type="whole" allowBlank="1" showInputMessage="1" showErrorMessage="1" xr:uid="{5F6C8CB3-12AF-42A5-B91D-2B8F09D8E50C}">
          <x14:formula1>
            <xm:f>'IP Address'!#REF!</xm:f>
          </x14:formula1>
          <x14:formula2>
            <xm:f>'IP Address'!I12</xm:f>
          </x14:formula2>
          <xm:sqref>F34 F36</xm:sqref>
        </x14:dataValidation>
        <x14:dataValidation type="whole" allowBlank="1" showInputMessage="1" showErrorMessage="1" xr:uid="{5EBF8207-DBB4-4B3A-AA65-29D8788A54E3}">
          <x14:formula1>
            <xm:f>'IP Address'!#REF!</xm:f>
          </x14:formula1>
          <x14:formula2>
            <xm:f>'IP Address'!I12</xm:f>
          </x14:formula2>
          <xm:sqref>F37 F35</xm:sqref>
        </x14:dataValidation>
        <x14:dataValidation type="whole" allowBlank="1" showInputMessage="1" showErrorMessage="1" xr:uid="{1830E2E8-9A50-4F6A-9E91-40523F1E7B74}">
          <x14:formula1>
            <xm:f>'IP Address'!AH22</xm:f>
          </x14:formula1>
          <x14:formula2>
            <xm:f>'IP Address'!AH29</xm:f>
          </x14:formula2>
          <xm:sqref>AC52 DR52 DK52 DB52 CS52 CC52 BT52 BK52 BB52 AS52 AJ52</xm:sqref>
        </x14:dataValidation>
        <x14:dataValidation type="whole" allowBlank="1" showInputMessage="1" showErrorMessage="1" xr:uid="{C8101BE6-6173-4B6A-9BD8-E6C1C6176B48}">
          <x14:formula1>
            <xm:f>'IP Address'!AH22</xm:f>
          </x14:formula1>
          <x14:formula2>
            <xm:f>'IP Address'!AH29</xm:f>
          </x14:formula2>
          <xm:sqref>DR53 DK53 DB53 CS53 CC53 BT53 BK53 BB53 AS53 AJ53 AC53</xm:sqref>
        </x14:dataValidation>
        <x14:dataValidation type="whole" allowBlank="1" showInputMessage="1" showErrorMessage="1" xr:uid="{FFE48369-A7B0-4599-AAA7-BA0907685FCF}">
          <x14:formula1>
            <xm:f>'IP Address'!AH5</xm:f>
          </x14:formula1>
          <x14:formula2>
            <xm:f>'IP Address'!AG12</xm:f>
          </x14:formula2>
          <xm:sqref>AJ36 AJ34 AS34 AC36 AC34 BB34 AS36 BK34 BB36 BT34 BK36 CC34 BT36 CS34 CC36 DB34 CS36 DK34 DB36 DR34 DK36 DR36</xm:sqref>
        </x14:dataValidation>
        <x14:dataValidation type="whole" allowBlank="1" showInputMessage="1" showErrorMessage="1" xr:uid="{E09E7EDC-D751-4FBB-87D5-1E60D8DCD25D}">
          <x14:formula1>
            <xm:f>'IP Address'!AH5</xm:f>
          </x14:formula1>
          <x14:formula2>
            <xm:f>'IP Address'!AG12</xm:f>
          </x14:formula2>
          <xm:sqref>AJ37 AJ35 AS35 AC37 AC35 BB35 AS37 BK35 BB37 BT35 BK37 CC35 BT37 CS35 CC37 DB35 CS37 DK35 DB37 DR35 DK37 DR37</xm:sqref>
        </x14:dataValidation>
        <x14:dataValidation type="whole" allowBlank="1" showInputMessage="1" showErrorMessage="1" xr:uid="{7CDDC5DE-D642-4193-8DC4-03C8C89EFC7D}">
          <x14:formula1>
            <xm:f>'IP Address'!I22</xm:f>
          </x14:formula1>
          <x14:formula2>
            <xm:f>'IP Address'!I29</xm:f>
          </x14:formula2>
          <xm:sqref>F52</xm:sqref>
        </x14:dataValidation>
        <x14:dataValidation type="whole" allowBlank="1" showInputMessage="1" showErrorMessage="1" xr:uid="{CA04D8F7-26C3-4B13-94D6-3BB263E31A51}">
          <x14:formula1>
            <xm:f>'IP Address'!P22</xm:f>
          </x14:formula1>
          <x14:formula2>
            <xm:f>'IP Address'!#REF!</xm:f>
          </x14:formula2>
          <xm:sqref>M52</xm:sqref>
        </x14:dataValidation>
        <x14:dataValidation type="whole" allowBlank="1" showInputMessage="1" showErrorMessage="1" xr:uid="{6D1F8C29-DB61-4316-BC3D-2D4A57C30F9C}">
          <x14:formula1>
            <xm:f>'IP Address'!P26</xm:f>
          </x14:formula1>
          <x14:formula2>
            <xm:f>'IP Address'!J3</xm:f>
          </x14:formula2>
          <xm:sqref>M37 M35</xm:sqref>
        </x14:dataValidation>
        <x14:dataValidation type="whole" allowBlank="1" showInputMessage="1" showErrorMessage="1" xr:uid="{FCA56643-6424-4F48-B31D-4CD8EB5E2898}">
          <x14:formula1>
            <xm:f>'IP Address'!I22</xm:f>
          </x14:formula1>
          <x14:formula2>
            <xm:f>'IP Address'!I29</xm:f>
          </x14:formula2>
          <xm:sqref>F53</xm:sqref>
        </x14:dataValidation>
        <x14:dataValidation type="whole" allowBlank="1" showInputMessage="1" showErrorMessage="1" xr:uid="{D50FE918-FFE5-4576-B36C-3984C784D8D6}">
          <x14:formula1>
            <xm:f>'IP Address'!P22</xm:f>
          </x14:formula1>
          <x14:formula2>
            <xm:f>'IP Address'!#REF!</xm:f>
          </x14:formula2>
          <xm:sqref>M53</xm:sqref>
        </x14:dataValidation>
        <x14:dataValidation type="whole" allowBlank="1" showInputMessage="1" showErrorMessage="1" xr:uid="{4949D74C-01D2-4BD4-8FC6-F90F3ABAD1CD}">
          <x14:formula1>
            <xm:f>'IP Address'!P26</xm:f>
          </x14:formula1>
          <x14:formula2>
            <xm:f>'IP Address'!J3</xm:f>
          </x14:formula2>
          <xm:sqref>M36 M34</xm:sqref>
        </x14:dataValidation>
        <x14:dataValidation type="whole" allowBlank="1" showInputMessage="1" showErrorMessage="1" xr:uid="{6C7068AC-9805-4C07-A5E3-965E100427DB}">
          <x14:formula1>
            <xm:f>'IP Address'!I4</xm:f>
          </x14:formula1>
          <x14:formula2>
            <xm:f>'IP Address'!I11</xm:f>
          </x14:formula2>
          <xm:sqref>F32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969E-3A21-4AC2-AFBB-73B07D00389E}">
  <sheetPr codeName="Hoja5"/>
  <dimension ref="B2:P42"/>
  <sheetViews>
    <sheetView topLeftCell="A23" zoomScaleNormal="100" workbookViewId="0">
      <selection activeCell="H16" sqref="H16"/>
    </sheetView>
  </sheetViews>
  <sheetFormatPr baseColWidth="10" defaultColWidth="11.42578125" defaultRowHeight="15"/>
  <cols>
    <col min="2" max="2" width="28.5703125" customWidth="1"/>
    <col min="3" max="3" width="20.42578125" customWidth="1"/>
    <col min="4" max="4" width="37.42578125" customWidth="1"/>
    <col min="5" max="5" width="17.85546875" customWidth="1"/>
    <col min="6" max="6" width="8.42578125" customWidth="1"/>
    <col min="7" max="7" width="20.5703125" customWidth="1"/>
    <col min="8" max="8" width="75.42578125" customWidth="1"/>
    <col min="13" max="13" width="21.7109375" customWidth="1"/>
    <col min="14" max="14" width="22.7109375" customWidth="1"/>
    <col min="19" max="19" width="11.7109375" customWidth="1"/>
    <col min="20" max="20" width="15.140625" customWidth="1"/>
  </cols>
  <sheetData>
    <row r="2" spans="2:14" ht="15.75" thickBot="1"/>
    <row r="3" spans="2:14" ht="15.75" thickBot="1">
      <c r="G3" s="129" t="s">
        <v>82</v>
      </c>
      <c r="H3" s="122" t="s">
        <v>83</v>
      </c>
      <c r="I3" s="123" t="s">
        <v>84</v>
      </c>
      <c r="J3" s="123" t="s">
        <v>85</v>
      </c>
      <c r="K3" s="123" t="s">
        <v>86</v>
      </c>
      <c r="L3" s="123" t="s">
        <v>87</v>
      </c>
      <c r="M3" s="123" t="s">
        <v>88</v>
      </c>
      <c r="N3" s="124" t="s">
        <v>89</v>
      </c>
    </row>
    <row r="4" spans="2:14" ht="19.149999999999999" customHeight="1" thickBot="1">
      <c r="B4" s="37" t="s">
        <v>90</v>
      </c>
      <c r="C4" s="38" t="s">
        <v>91</v>
      </c>
      <c r="D4" s="53" t="s">
        <v>92</v>
      </c>
      <c r="G4" s="182" t="s">
        <v>93</v>
      </c>
      <c r="H4" s="159" t="s">
        <v>553</v>
      </c>
      <c r="I4" s="37">
        <v>0</v>
      </c>
      <c r="J4" s="38" t="str">
        <f t="shared" ref="J4:J11" si="0">DEC2BIN(I4)</f>
        <v>0</v>
      </c>
      <c r="K4" s="38">
        <f>I4*8</f>
        <v>0</v>
      </c>
      <c r="L4" s="38" t="str">
        <f>CONCATENATE(REPT(0,8-LEN(DEC2BIN(K4))),DEC2BIN(K4))</f>
        <v>00000000</v>
      </c>
      <c r="M4" s="38" t="str">
        <f t="shared" ref="M4:M11" si="1">CONCATENATE("10.0.",K4,".0")</f>
        <v>10.0.0.0</v>
      </c>
      <c r="N4" s="39" t="s">
        <v>94</v>
      </c>
    </row>
    <row r="5" spans="2:14">
      <c r="B5" s="54" t="s">
        <v>340</v>
      </c>
      <c r="C5" s="52" t="s">
        <v>341</v>
      </c>
      <c r="D5" s="53" t="s">
        <v>342</v>
      </c>
      <c r="G5" s="183"/>
      <c r="H5" s="158" t="s">
        <v>98</v>
      </c>
      <c r="I5" s="40">
        <v>1</v>
      </c>
      <c r="J5" s="1" t="str">
        <f t="shared" si="0"/>
        <v>1</v>
      </c>
      <c r="K5" s="1">
        <f t="shared" ref="K5:K11" si="2">I5*8</f>
        <v>8</v>
      </c>
      <c r="L5" s="1" t="str">
        <f t="shared" ref="L5:L11" si="3">CONCATENATE(REPT(0,8-LEN(DEC2BIN(K5))),DEC2BIN(K5))</f>
        <v>00001000</v>
      </c>
      <c r="M5" s="1" t="str">
        <f t="shared" si="1"/>
        <v>10.0.8.0</v>
      </c>
      <c r="N5" s="9" t="s">
        <v>94</v>
      </c>
    </row>
    <row r="6" spans="2:14">
      <c r="B6" s="54" t="s">
        <v>99</v>
      </c>
      <c r="C6" s="52" t="s">
        <v>343</v>
      </c>
      <c r="D6" s="55" t="s">
        <v>344</v>
      </c>
      <c r="G6" s="183"/>
      <c r="H6" s="130" t="s">
        <v>102</v>
      </c>
      <c r="I6" s="40">
        <v>2</v>
      </c>
      <c r="J6" s="1" t="str">
        <f t="shared" si="0"/>
        <v>10</v>
      </c>
      <c r="K6" s="1">
        <f t="shared" si="2"/>
        <v>16</v>
      </c>
      <c r="L6" s="1" t="str">
        <f t="shared" si="3"/>
        <v>00010000</v>
      </c>
      <c r="M6" s="1" t="str">
        <f t="shared" si="1"/>
        <v>10.0.16.0</v>
      </c>
      <c r="N6" s="9" t="s">
        <v>94</v>
      </c>
    </row>
    <row r="7" spans="2:14">
      <c r="B7" s="54" t="s">
        <v>103</v>
      </c>
      <c r="C7" s="52" t="s">
        <v>345</v>
      </c>
      <c r="D7" s="55" t="s">
        <v>346</v>
      </c>
      <c r="G7" s="183"/>
      <c r="H7" s="160" t="s">
        <v>106</v>
      </c>
      <c r="I7" s="40">
        <v>3</v>
      </c>
      <c r="J7" s="1" t="str">
        <f t="shared" si="0"/>
        <v>11</v>
      </c>
      <c r="K7" s="1">
        <f t="shared" si="2"/>
        <v>24</v>
      </c>
      <c r="L7" s="1" t="str">
        <f t="shared" si="3"/>
        <v>00011000</v>
      </c>
      <c r="M7" s="1" t="str">
        <f t="shared" si="1"/>
        <v>10.0.24.0</v>
      </c>
      <c r="N7" s="9" t="s">
        <v>94</v>
      </c>
    </row>
    <row r="8" spans="2:14" ht="15.75" thickBot="1">
      <c r="B8" s="56" t="s">
        <v>107</v>
      </c>
      <c r="C8" s="57" t="s">
        <v>347</v>
      </c>
      <c r="D8" s="58" t="s">
        <v>348</v>
      </c>
      <c r="E8" t="s">
        <v>110</v>
      </c>
      <c r="G8" s="183"/>
      <c r="H8" s="132" t="s">
        <v>111</v>
      </c>
      <c r="I8" s="40">
        <v>4</v>
      </c>
      <c r="J8" s="1" t="str">
        <f t="shared" si="0"/>
        <v>100</v>
      </c>
      <c r="K8" s="1">
        <f t="shared" si="2"/>
        <v>32</v>
      </c>
      <c r="L8" s="1" t="str">
        <f t="shared" si="3"/>
        <v>00100000</v>
      </c>
      <c r="M8" s="1" t="str">
        <f t="shared" si="1"/>
        <v>10.0.32.0</v>
      </c>
      <c r="N8" s="9" t="s">
        <v>94</v>
      </c>
    </row>
    <row r="9" spans="2:14" ht="15.75" thickBot="1">
      <c r="G9" s="183"/>
      <c r="H9" s="133" t="s">
        <v>112</v>
      </c>
      <c r="I9" s="40">
        <v>5</v>
      </c>
      <c r="J9" s="1" t="str">
        <f t="shared" si="0"/>
        <v>101</v>
      </c>
      <c r="K9" s="1">
        <f t="shared" si="2"/>
        <v>40</v>
      </c>
      <c r="L9" s="1" t="str">
        <f t="shared" si="3"/>
        <v>00101000</v>
      </c>
      <c r="M9" s="1" t="str">
        <f t="shared" si="1"/>
        <v>10.0.40.0</v>
      </c>
      <c r="N9" s="9" t="s">
        <v>94</v>
      </c>
    </row>
    <row r="10" spans="2:14" ht="15.75" thickBot="1">
      <c r="D10" s="45" t="s">
        <v>113</v>
      </c>
      <c r="E10" s="45" t="s">
        <v>114</v>
      </c>
      <c r="G10" s="183"/>
      <c r="H10" s="156" t="s">
        <v>554</v>
      </c>
      <c r="I10" s="40">
        <v>6</v>
      </c>
      <c r="J10" s="1" t="str">
        <f t="shared" si="0"/>
        <v>110</v>
      </c>
      <c r="K10" s="1">
        <f t="shared" si="2"/>
        <v>48</v>
      </c>
      <c r="L10" s="1" t="str">
        <f t="shared" si="3"/>
        <v>00110000</v>
      </c>
      <c r="M10" s="1" t="str">
        <f t="shared" si="1"/>
        <v>10.0.48.0</v>
      </c>
      <c r="N10" s="9" t="s">
        <v>94</v>
      </c>
    </row>
    <row r="11" spans="2:14" ht="15.75" thickBot="1">
      <c r="B11" s="141" t="s">
        <v>349</v>
      </c>
      <c r="C11" s="142">
        <v>63</v>
      </c>
      <c r="D11" s="142" t="str">
        <f>DEC2BIN(C11)</f>
        <v>111111</v>
      </c>
      <c r="E11" s="143">
        <v>6</v>
      </c>
      <c r="G11" s="184"/>
      <c r="H11" s="157" t="s">
        <v>555</v>
      </c>
      <c r="I11" s="94">
        <v>7</v>
      </c>
      <c r="J11" s="41" t="str">
        <f t="shared" si="0"/>
        <v>111</v>
      </c>
      <c r="K11" s="41">
        <f t="shared" si="2"/>
        <v>56</v>
      </c>
      <c r="L11" s="41" t="str">
        <f t="shared" si="3"/>
        <v>00111000</v>
      </c>
      <c r="M11" s="41" t="str">
        <f t="shared" si="1"/>
        <v>10.0.56.0</v>
      </c>
      <c r="N11" s="42" t="s">
        <v>94</v>
      </c>
    </row>
    <row r="12" spans="2:14">
      <c r="B12" s="54" t="s">
        <v>115</v>
      </c>
      <c r="C12" s="1">
        <v>7</v>
      </c>
      <c r="D12" s="1" t="str">
        <f>DEC2BIN(C12)</f>
        <v>111</v>
      </c>
      <c r="E12" s="9">
        <v>3</v>
      </c>
    </row>
    <row r="13" spans="2:14" ht="15.75" customHeight="1">
      <c r="B13" s="54" t="s">
        <v>116</v>
      </c>
      <c r="C13" s="1">
        <v>31</v>
      </c>
      <c r="D13" s="1" t="str">
        <f>DEC2BIN(C13)</f>
        <v>11111</v>
      </c>
      <c r="E13" s="9">
        <v>5</v>
      </c>
    </row>
    <row r="14" spans="2:14" ht="15.75" thickBot="1">
      <c r="B14" s="56" t="s">
        <v>117</v>
      </c>
      <c r="C14" s="41">
        <v>63</v>
      </c>
      <c r="D14" s="41" t="str">
        <f>DEC2BIN(C14)</f>
        <v>111111</v>
      </c>
      <c r="E14" s="42">
        <v>6</v>
      </c>
    </row>
    <row r="15" spans="2:14" ht="15.75" thickBot="1">
      <c r="E15" s="45">
        <f>SUM(E12:E14)</f>
        <v>14</v>
      </c>
    </row>
    <row r="17" spans="2:16" ht="15.75" thickBot="1"/>
    <row r="18" spans="2:16" ht="15.75" thickBot="1">
      <c r="B18" s="100" t="s">
        <v>118</v>
      </c>
      <c r="C18" s="185" t="s">
        <v>350</v>
      </c>
      <c r="D18" s="186"/>
      <c r="E18" s="187"/>
    </row>
    <row r="19" spans="2:16">
      <c r="B19" s="104" t="s">
        <v>121</v>
      </c>
      <c r="C19" s="105"/>
      <c r="D19" s="106" t="s">
        <v>122</v>
      </c>
      <c r="E19" s="107" t="s">
        <v>123</v>
      </c>
      <c r="G19" s="108" t="s">
        <v>351</v>
      </c>
      <c r="H19" s="111" t="s">
        <v>352</v>
      </c>
      <c r="I19" s="111" t="s">
        <v>353</v>
      </c>
    </row>
    <row r="20" spans="2:16">
      <c r="B20" s="110" t="s">
        <v>354</v>
      </c>
      <c r="C20" s="109" t="s">
        <v>355</v>
      </c>
      <c r="D20" s="111">
        <f>BIN2DEC(111100)</f>
        <v>60</v>
      </c>
      <c r="E20" s="108" t="str">
        <f>DEC2BIN(D20)</f>
        <v>111100</v>
      </c>
      <c r="G20" s="108">
        <v>2</v>
      </c>
      <c r="H20" s="111">
        <f>BITWISE_AND(D20,G20)/4</f>
        <v>0</v>
      </c>
      <c r="I20" s="111" t="str">
        <f>DEC2BIN(H20)</f>
        <v>0</v>
      </c>
    </row>
    <row r="21" spans="2:16" ht="15.75" thickBot="1">
      <c r="B21" s="112" t="s">
        <v>356</v>
      </c>
      <c r="C21" s="113" t="s">
        <v>127</v>
      </c>
      <c r="D21" s="114">
        <f>BIN2DEC(11)</f>
        <v>3</v>
      </c>
      <c r="E21" s="115" t="str">
        <f>DEC2BIN(D21)</f>
        <v>11</v>
      </c>
      <c r="G21" s="108" t="str">
        <f>DEC2BIN(G20)</f>
        <v>10</v>
      </c>
      <c r="H21" s="111">
        <f>BITWISE_AND(D21,G20)</f>
        <v>2</v>
      </c>
      <c r="I21" s="111" t="str">
        <f>DEC2BIN(H21)</f>
        <v>10</v>
      </c>
    </row>
    <row r="22" spans="2:16">
      <c r="B22" s="104" t="s">
        <v>121</v>
      </c>
      <c r="C22" s="105"/>
      <c r="D22" s="106" t="s">
        <v>122</v>
      </c>
      <c r="E22" s="107" t="s">
        <v>123</v>
      </c>
      <c r="G22" s="108" t="s">
        <v>120</v>
      </c>
      <c r="H22" s="111"/>
      <c r="I22" s="111"/>
    </row>
    <row r="23" spans="2:16">
      <c r="B23" s="110" t="s">
        <v>124</v>
      </c>
      <c r="C23" s="109" t="s">
        <v>125</v>
      </c>
      <c r="D23" s="111">
        <f>BIN2DEC(11100)</f>
        <v>28</v>
      </c>
      <c r="E23" s="108" t="str">
        <f>DEC2BIN(D23)</f>
        <v>11100</v>
      </c>
      <c r="G23" s="108">
        <v>9</v>
      </c>
      <c r="H23" s="111">
        <f>BITWISE_AND(D23,G23)/4</f>
        <v>2</v>
      </c>
      <c r="I23" s="111" t="str">
        <f t="shared" ref="I23:I24" si="4">DEC2BIN(H23)</f>
        <v>10</v>
      </c>
    </row>
    <row r="24" spans="2:16" ht="15.75" thickBot="1">
      <c r="B24" s="112" t="s">
        <v>126</v>
      </c>
      <c r="C24" s="113" t="s">
        <v>127</v>
      </c>
      <c r="D24" s="114">
        <f>BIN2DEC(11)</f>
        <v>3</v>
      </c>
      <c r="E24" s="115" t="str">
        <f>DEC2BIN(D24)</f>
        <v>11</v>
      </c>
      <c r="G24" s="108" t="str">
        <f>DEC2BIN(G23)</f>
        <v>1001</v>
      </c>
      <c r="H24" s="111">
        <f>BITWISE_AND(D24,G23)</f>
        <v>1</v>
      </c>
      <c r="I24" s="111" t="str">
        <f t="shared" si="4"/>
        <v>1</v>
      </c>
      <c r="M24" s="116"/>
    </row>
    <row r="29" spans="2:16" ht="15.75" thickBot="1"/>
    <row r="30" spans="2:16" ht="15.75" thickBot="1">
      <c r="C30" s="45" t="s">
        <v>128</v>
      </c>
      <c r="F30" s="1" t="s">
        <v>357</v>
      </c>
      <c r="G30" s="1" t="s">
        <v>358</v>
      </c>
      <c r="H30" s="1" t="s">
        <v>359</v>
      </c>
      <c r="I30" s="1" t="s">
        <v>360</v>
      </c>
    </row>
    <row r="31" spans="2:16" ht="15.75" thickBot="1">
      <c r="C31" s="37" t="s">
        <v>361</v>
      </c>
      <c r="D31" s="39">
        <v>2</v>
      </c>
      <c r="F31" s="1">
        <v>10</v>
      </c>
      <c r="G31" s="1">
        <f>BIN2DEC(1000)*16</f>
        <v>128</v>
      </c>
      <c r="H31" s="1">
        <f>BITWISE_AND(D31,E21)*64</f>
        <v>128</v>
      </c>
      <c r="I31" s="1">
        <f>BITWISE_AND(D24,D33)*64</f>
        <v>192</v>
      </c>
      <c r="M31" s="47" t="s">
        <v>131</v>
      </c>
      <c r="N31" s="28" t="s">
        <v>132</v>
      </c>
      <c r="O31" s="29" t="s">
        <v>133</v>
      </c>
      <c r="P31" s="30" t="s">
        <v>84</v>
      </c>
    </row>
    <row r="32" spans="2:16">
      <c r="C32" s="40" t="s">
        <v>129</v>
      </c>
      <c r="D32" s="9">
        <v>7</v>
      </c>
      <c r="F32" s="1"/>
      <c r="G32" s="1">
        <f>BITWISE_AND(D31,E20)/4</f>
        <v>0</v>
      </c>
      <c r="H32" s="1">
        <f>D32*8</f>
        <v>56</v>
      </c>
      <c r="I32" s="1">
        <f>D34*10</f>
        <v>10</v>
      </c>
      <c r="M32" s="188" t="s">
        <v>136</v>
      </c>
      <c r="N32" s="27" t="s">
        <v>137</v>
      </c>
      <c r="O32" s="3" t="s">
        <v>138</v>
      </c>
      <c r="P32" s="3" t="s">
        <v>139</v>
      </c>
    </row>
    <row r="33" spans="2:16">
      <c r="C33" s="40" t="s">
        <v>134</v>
      </c>
      <c r="D33" s="9">
        <v>23</v>
      </c>
      <c r="F33" s="1"/>
      <c r="H33" s="1">
        <f>BITWISE_AND(D23,D33)/4</f>
        <v>5</v>
      </c>
      <c r="I33" s="1">
        <f>D35</f>
        <v>7</v>
      </c>
      <c r="M33" s="189"/>
      <c r="N33" s="24" t="s">
        <v>141</v>
      </c>
      <c r="O33" s="1" t="s">
        <v>142</v>
      </c>
      <c r="P33" s="1" t="s">
        <v>143</v>
      </c>
    </row>
    <row r="34" spans="2:16">
      <c r="C34" s="40" t="s">
        <v>140</v>
      </c>
      <c r="D34" s="9">
        <v>1</v>
      </c>
      <c r="F34" s="1">
        <f>SUM(F31:F33)</f>
        <v>10</v>
      </c>
      <c r="G34" s="1">
        <f>SUM(G31:G33)</f>
        <v>128</v>
      </c>
      <c r="H34" s="1">
        <f>SUM(H31:H33)</f>
        <v>189</v>
      </c>
      <c r="I34" s="1">
        <f>SUM(I31:I33)</f>
        <v>209</v>
      </c>
      <c r="M34" s="189"/>
      <c r="N34" s="24" t="s">
        <v>145</v>
      </c>
      <c r="O34" s="1" t="s">
        <v>146</v>
      </c>
      <c r="P34" s="1" t="s">
        <v>147</v>
      </c>
    </row>
    <row r="35" spans="2:16" ht="15.75" thickBot="1">
      <c r="C35" s="94" t="s">
        <v>144</v>
      </c>
      <c r="D35" s="42">
        <v>7</v>
      </c>
      <c r="F35" s="1" t="str">
        <f>DEC2BIN(F31)</f>
        <v>1010</v>
      </c>
      <c r="G35" s="1" t="str">
        <f>DEC2BIN(G34)</f>
        <v>10000000</v>
      </c>
      <c r="H35" s="1" t="str">
        <f>DEC2BIN(H34)</f>
        <v>10111101</v>
      </c>
      <c r="I35" s="1" t="str">
        <f>DEC2BIN(I34)</f>
        <v>11010001</v>
      </c>
      <c r="M35" s="189"/>
      <c r="N35" s="24" t="s">
        <v>148</v>
      </c>
      <c r="O35" s="1" t="s">
        <v>149</v>
      </c>
      <c r="P35" s="1" t="s">
        <v>150</v>
      </c>
    </row>
    <row r="36" spans="2:16" ht="15.75" thickBot="1">
      <c r="M36" s="189"/>
      <c r="N36" s="24" t="s">
        <v>151</v>
      </c>
      <c r="O36" s="1" t="s">
        <v>152</v>
      </c>
      <c r="P36" s="1" t="s">
        <v>153</v>
      </c>
    </row>
    <row r="37" spans="2:16" ht="15.75" thickBot="1">
      <c r="C37" s="45" t="s">
        <v>362</v>
      </c>
      <c r="D37" s="45" t="s">
        <v>363</v>
      </c>
      <c r="F37" s="45" t="s">
        <v>364</v>
      </c>
      <c r="G37" s="45"/>
      <c r="H37" s="45" t="s">
        <v>365</v>
      </c>
      <c r="M37" s="211"/>
      <c r="N37" s="24"/>
      <c r="O37" s="1"/>
      <c r="P37" s="1"/>
    </row>
    <row r="38" spans="2:16" ht="15.75" thickBot="1">
      <c r="C38" s="45" t="str">
        <f>CONCATENATE(TEXT(F34,0),".",TEXT(G34,0),".",TEXT(H34,0),".",TEXT(I34,0))</f>
        <v>10.128.189.209</v>
      </c>
      <c r="D38" s="45" t="str">
        <f>CONCATENATE(TEXT(F35,0),".",TEXT(G35,0),".",TEXT(H35,0),".",TEXT(I35,0))</f>
        <v>1010.10000000.10111101.11010001</v>
      </c>
      <c r="F38" s="45" t="str">
        <f>CONCATENATE("10.",TEXT(128+BITWISE_AND(D31,D20)/4,0),".",TEXT(BITWISE_AND(D21,D31)*64+D32*8+BITWISE_AND(D23,D33)/4,0),".",TEXT(BITWISE_AND(D24,D33)*64+D34*10+D35,0))</f>
        <v>10.128.189.209</v>
      </c>
      <c r="G38" s="45"/>
      <c r="H38" s="45" t="str">
        <f>CONCATENATE("10.",TEXT(128+BITWISE_AND(D31,D20)/4,0),".",TEXT(BITWISE_AND(D21,D31)*64+BITWISE_AND(D23,D33)/4,0),".",TEXT(BITWISE_AND(D24,D33)*64+D34+1,0))</f>
        <v>10.128.133.194</v>
      </c>
      <c r="M38" s="211"/>
      <c r="N38" s="24"/>
      <c r="O38" s="1"/>
      <c r="P38" s="1"/>
    </row>
    <row r="39" spans="2:16">
      <c r="M39" s="211"/>
      <c r="N39" s="24"/>
      <c r="O39" s="1"/>
      <c r="P39" s="1"/>
    </row>
    <row r="40" spans="2:16">
      <c r="M40" s="211"/>
      <c r="N40" s="24"/>
      <c r="O40" s="1"/>
      <c r="P40" s="1"/>
    </row>
    <row r="41" spans="2:16" ht="15.75" thickBot="1">
      <c r="B41" t="s">
        <v>154</v>
      </c>
      <c r="G41" t="s">
        <v>155</v>
      </c>
      <c r="M41" s="190"/>
      <c r="N41" s="24" t="s">
        <v>156</v>
      </c>
      <c r="O41" s="1" t="s">
        <v>157</v>
      </c>
      <c r="P41" s="1" t="s">
        <v>158</v>
      </c>
    </row>
    <row r="42" spans="2:16">
      <c r="B42" s="153" t="s">
        <v>159</v>
      </c>
    </row>
  </sheetData>
  <mergeCells count="3">
    <mergeCell ref="G4:G11"/>
    <mergeCell ref="C18:E18"/>
    <mergeCell ref="M32:M41"/>
  </mergeCells>
  <conditionalFormatting sqref="D33">
    <cfRule type="cellIs" dxfId="12" priority="5" operator="greaterThan">
      <formula>31</formula>
    </cfRule>
  </conditionalFormatting>
  <conditionalFormatting sqref="D34">
    <cfRule type="cellIs" dxfId="11" priority="4" operator="greaterThan">
      <formula>6</formula>
    </cfRule>
  </conditionalFormatting>
  <conditionalFormatting sqref="D35">
    <cfRule type="cellIs" dxfId="10" priority="3" operator="greaterThan">
      <formula>10</formula>
    </cfRule>
  </conditionalFormatting>
  <conditionalFormatting sqref="D31">
    <cfRule type="cellIs" dxfId="9" priority="2" operator="greaterThan">
      <formula>7</formula>
    </cfRule>
  </conditionalFormatting>
  <conditionalFormatting sqref="D32">
    <cfRule type="cellIs" dxfId="8" priority="1" operator="greaterThan">
      <formula>31</formula>
    </cfRule>
  </conditionalFormatting>
  <hyperlinks>
    <hyperlink ref="B42" location="'Reserved Fixed IPs'!A1" display="'Reserved Fixed IPs'!A1" xr:uid="{DE6E1EFD-B16F-4147-938A-CC3250295B7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E9F5B-3401-47E7-9092-819DABD4139F}">
  <sheetPr codeName="Hoja4"/>
  <dimension ref="B1:DU72"/>
  <sheetViews>
    <sheetView topLeftCell="A21" zoomScaleNormal="100" workbookViewId="0">
      <selection activeCell="I18" sqref="I18"/>
    </sheetView>
  </sheetViews>
  <sheetFormatPr baseColWidth="10" defaultColWidth="11.42578125" defaultRowHeight="15"/>
  <cols>
    <col min="1" max="1" width="3.28515625" customWidth="1"/>
    <col min="2" max="2" width="4.28515625" customWidth="1"/>
    <col min="3" max="4" width="6" bestFit="1" customWidth="1"/>
    <col min="5" max="5" width="7.28515625" bestFit="1" customWidth="1"/>
    <col min="6" max="6" width="6.7109375" bestFit="1" customWidth="1"/>
    <col min="7" max="7" width="25" bestFit="1" customWidth="1"/>
    <col min="8" max="8" width="13.42578125" customWidth="1"/>
    <col min="9" max="9" width="5.5703125" bestFit="1" customWidth="1"/>
    <col min="10" max="11" width="6" bestFit="1" customWidth="1"/>
    <col min="12" max="12" width="7.28515625" bestFit="1" customWidth="1"/>
    <col min="13" max="13" width="6.7109375" bestFit="1" customWidth="1"/>
    <col min="14" max="14" width="15.85546875" bestFit="1" customWidth="1"/>
    <col min="15" max="15" width="12.7109375" bestFit="1" customWidth="1"/>
    <col min="16" max="16" width="7.140625" customWidth="1"/>
    <col min="17" max="18" width="6" bestFit="1" customWidth="1"/>
    <col min="19" max="19" width="7.28515625" bestFit="1" customWidth="1"/>
    <col min="20" max="20" width="6.7109375" bestFit="1" customWidth="1"/>
    <col min="21" max="21" width="21.85546875" customWidth="1"/>
    <col min="22" max="22" width="14.85546875" customWidth="1"/>
    <col min="23" max="23" width="3.42578125" customWidth="1"/>
    <col min="24" max="24" width="2.7109375" customWidth="1"/>
    <col min="25" max="25" width="4.7109375" customWidth="1"/>
    <col min="26" max="27" width="6" bestFit="1" customWidth="1"/>
    <col min="28" max="28" width="7.28515625" bestFit="1" customWidth="1"/>
    <col min="29" max="29" width="6.7109375" bestFit="1" customWidth="1"/>
    <col min="30" max="30" width="53" customWidth="1"/>
    <col min="31" max="31" width="12.7109375" bestFit="1" customWidth="1"/>
    <col min="32" max="32" width="4.7109375" customWidth="1"/>
    <col min="33" max="34" width="6" bestFit="1" customWidth="1"/>
    <col min="35" max="35" width="7.28515625" bestFit="1" customWidth="1"/>
    <col min="36" max="36" width="6.7109375" bestFit="1" customWidth="1"/>
    <col min="37" max="37" width="48.28515625" customWidth="1"/>
    <col min="38" max="38" width="12.7109375" bestFit="1" customWidth="1"/>
    <col min="39" max="39" width="6" customWidth="1"/>
    <col min="40" max="40" width="2.42578125" customWidth="1"/>
    <col min="41" max="41" width="4.7109375" customWidth="1"/>
    <col min="42" max="42" width="6.28515625" customWidth="1"/>
    <col min="43" max="43" width="6" bestFit="1" customWidth="1"/>
    <col min="44" max="44" width="7.28515625" bestFit="1" customWidth="1"/>
    <col min="45" max="45" width="6.7109375" bestFit="1" customWidth="1"/>
    <col min="46" max="46" width="54" customWidth="1"/>
    <col min="47" max="47" width="13.7109375" bestFit="1" customWidth="1"/>
    <col min="48" max="48" width="5" customWidth="1"/>
    <col min="49" max="49" width="2.7109375" customWidth="1"/>
    <col min="50" max="50" width="7.28515625" customWidth="1"/>
    <col min="51" max="51" width="6.7109375" customWidth="1"/>
    <col min="52" max="52" width="6" bestFit="1" customWidth="1"/>
    <col min="53" max="53" width="7.28515625" bestFit="1" customWidth="1"/>
    <col min="54" max="54" width="6.7109375" bestFit="1" customWidth="1"/>
    <col min="55" max="55" width="50.7109375" customWidth="1"/>
    <col min="56" max="56" width="12.7109375" bestFit="1" customWidth="1"/>
    <col min="57" max="57" width="6" customWidth="1"/>
    <col min="58" max="58" width="2.7109375" customWidth="1"/>
    <col min="59" max="59" width="4.7109375" customWidth="1"/>
    <col min="60" max="60" width="6.7109375" customWidth="1"/>
    <col min="61" max="61" width="6" bestFit="1" customWidth="1"/>
    <col min="62" max="62" width="7.28515625" bestFit="1" customWidth="1"/>
    <col min="63" max="63" width="6.7109375" bestFit="1" customWidth="1"/>
    <col min="64" max="64" width="50.140625" customWidth="1"/>
    <col min="65" max="65" width="13.7109375" bestFit="1" customWidth="1"/>
    <col min="66" max="66" width="6" customWidth="1"/>
    <col min="67" max="67" width="2.7109375" customWidth="1"/>
    <col min="68" max="68" width="4.7109375" customWidth="1"/>
    <col min="69" max="69" width="6.42578125" customWidth="1"/>
    <col min="70" max="70" width="6" bestFit="1" customWidth="1"/>
    <col min="71" max="71" width="7.28515625" bestFit="1" customWidth="1"/>
    <col min="72" max="72" width="6.7109375" bestFit="1" customWidth="1"/>
    <col min="73" max="73" width="42.5703125" customWidth="1"/>
    <col min="74" max="74" width="12.7109375" bestFit="1" customWidth="1"/>
    <col min="75" max="75" width="6" customWidth="1"/>
    <col min="76" max="76" width="2.7109375" customWidth="1"/>
    <col min="77" max="77" width="4.7109375" customWidth="1"/>
    <col min="78" max="78" width="7" customWidth="1"/>
    <col min="79" max="79" width="6" bestFit="1" customWidth="1"/>
    <col min="80" max="80" width="7.28515625" bestFit="1" customWidth="1"/>
    <col min="81" max="81" width="6.7109375" bestFit="1" customWidth="1"/>
    <col min="82" max="82" width="41.28515625" customWidth="1"/>
    <col min="83" max="83" width="12.7109375" bestFit="1" customWidth="1"/>
    <col min="84" max="84" width="4.7109375" customWidth="1"/>
    <col min="85" max="86" width="6" bestFit="1" customWidth="1"/>
    <col min="87" max="87" width="7.28515625" bestFit="1" customWidth="1"/>
    <col min="88" max="88" width="6.7109375" bestFit="1" customWidth="1"/>
    <col min="89" max="89" width="45.7109375" customWidth="1"/>
    <col min="90" max="90" width="13.7109375" bestFit="1" customWidth="1"/>
    <col min="91" max="91" width="6" customWidth="1"/>
    <col min="92" max="92" width="2.7109375" customWidth="1"/>
    <col min="93" max="93" width="4.7109375" customWidth="1"/>
    <col min="94" max="94" width="5.42578125" customWidth="1"/>
    <col min="95" max="95" width="6" bestFit="1" customWidth="1"/>
    <col min="96" max="96" width="7.28515625" bestFit="1" customWidth="1"/>
    <col min="97" max="97" width="6.7109375" bestFit="1" customWidth="1"/>
    <col min="98" max="98" width="49.7109375" customWidth="1"/>
    <col min="99" max="99" width="13.7109375" bestFit="1" customWidth="1"/>
    <col min="100" max="100" width="6" customWidth="1"/>
    <col min="101" max="101" width="2.7109375" customWidth="1"/>
    <col min="102" max="102" width="4.7109375" customWidth="1"/>
    <col min="103" max="103" width="5.28515625" customWidth="1"/>
    <col min="104" max="104" width="6" bestFit="1" customWidth="1"/>
    <col min="105" max="105" width="7.28515625" bestFit="1" customWidth="1"/>
    <col min="106" max="106" width="6.7109375" bestFit="1" customWidth="1"/>
    <col min="107" max="107" width="48.140625" customWidth="1"/>
    <col min="108" max="108" width="12.7109375" bestFit="1" customWidth="1"/>
    <col min="109" max="109" width="6" customWidth="1"/>
    <col min="110" max="110" width="2.7109375" customWidth="1"/>
    <col min="111" max="111" width="4.28515625" customWidth="1"/>
    <col min="112" max="113" width="6" bestFit="1" customWidth="1"/>
    <col min="114" max="114" width="7.28515625" bestFit="1" customWidth="1"/>
    <col min="115" max="115" width="6.7109375" bestFit="1" customWidth="1"/>
    <col min="116" max="116" width="49.7109375" bestFit="1" customWidth="1"/>
    <col min="117" max="117" width="12.7109375" bestFit="1" customWidth="1"/>
    <col min="118" max="118" width="7.140625" customWidth="1"/>
    <col min="119" max="120" width="6" bestFit="1" customWidth="1"/>
    <col min="121" max="121" width="7.28515625" bestFit="1" customWidth="1"/>
    <col min="122" max="122" width="6.7109375" bestFit="1" customWidth="1"/>
    <col min="123" max="123" width="39.7109375" customWidth="1"/>
    <col min="124" max="124" width="13.7109375" bestFit="1" customWidth="1"/>
    <col min="125" max="125" width="3.42578125" customWidth="1"/>
    <col min="126" max="126" width="3.7109375" customWidth="1"/>
  </cols>
  <sheetData>
    <row r="1" spans="7:92"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</row>
    <row r="2" spans="7:92"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</row>
    <row r="3" spans="7:92"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</row>
    <row r="4" spans="7:92"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</row>
    <row r="5" spans="7:92"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</row>
    <row r="6" spans="7:92"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</row>
    <row r="7" spans="7:92"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</row>
    <row r="8" spans="7:92"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</row>
    <row r="9" spans="7:92"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</row>
    <row r="10" spans="7:92"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</row>
    <row r="11" spans="7:92"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</row>
    <row r="12" spans="7:92"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</row>
    <row r="13" spans="7:92"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</row>
    <row r="14" spans="7:92"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</row>
    <row r="15" spans="7:92"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</row>
    <row r="16" spans="7:92">
      <c r="G16" t="s">
        <v>160</v>
      </c>
      <c r="H16" t="s">
        <v>161</v>
      </c>
      <c r="I16" t="s">
        <v>162</v>
      </c>
      <c r="J16" t="s">
        <v>163</v>
      </c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</row>
    <row r="17" spans="2:125" ht="15.75" thickBot="1"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</row>
    <row r="18" spans="2:125" ht="15.75" thickBot="1">
      <c r="C18" s="212" t="s">
        <v>366</v>
      </c>
      <c r="D18" s="213"/>
      <c r="E18" s="213"/>
      <c r="F18" s="214"/>
      <c r="G18" s="46">
        <v>1</v>
      </c>
      <c r="X18" s="35"/>
      <c r="Y18" s="35"/>
      <c r="Z18" s="212" t="s">
        <v>366</v>
      </c>
      <c r="AA18" s="213"/>
      <c r="AB18" s="213"/>
      <c r="AC18" s="214"/>
      <c r="AD18" s="46">
        <v>0</v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212" t="s">
        <v>366</v>
      </c>
      <c r="AQ18" s="213"/>
      <c r="AR18" s="213"/>
      <c r="AS18" s="214"/>
      <c r="AT18" s="46">
        <v>2</v>
      </c>
      <c r="AY18" s="212" t="s">
        <v>366</v>
      </c>
      <c r="AZ18" s="213"/>
      <c r="BA18" s="213"/>
      <c r="BB18" s="214"/>
      <c r="BC18" s="46">
        <v>2</v>
      </c>
      <c r="BH18" s="212" t="s">
        <v>366</v>
      </c>
      <c r="BI18" s="213"/>
      <c r="BJ18" s="213"/>
      <c r="BK18" s="214"/>
      <c r="BL18" s="46">
        <v>2</v>
      </c>
      <c r="BQ18" s="212" t="s">
        <v>366</v>
      </c>
      <c r="BR18" s="213"/>
      <c r="BS18" s="213"/>
      <c r="BT18" s="214"/>
      <c r="BU18" s="46">
        <v>2</v>
      </c>
      <c r="BX18" s="35"/>
      <c r="BY18" s="35"/>
      <c r="BZ18" s="212" t="s">
        <v>366</v>
      </c>
      <c r="CA18" s="213"/>
      <c r="CB18" s="213"/>
      <c r="CC18" s="214"/>
      <c r="CD18" s="46">
        <v>2</v>
      </c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P18" s="212" t="s">
        <v>366</v>
      </c>
      <c r="CQ18" s="213"/>
      <c r="CR18" s="213"/>
      <c r="CS18" s="214"/>
      <c r="CT18" s="46">
        <v>2</v>
      </c>
      <c r="CY18" s="212" t="s">
        <v>366</v>
      </c>
      <c r="CZ18" s="213"/>
      <c r="DA18" s="213"/>
      <c r="DB18" s="214"/>
      <c r="DC18" s="46">
        <v>2</v>
      </c>
      <c r="DH18" s="212" t="s">
        <v>366</v>
      </c>
      <c r="DI18" s="213"/>
      <c r="DJ18" s="213"/>
      <c r="DK18" s="214"/>
      <c r="DL18" s="46">
        <v>2</v>
      </c>
    </row>
    <row r="19" spans="2:125" ht="15.75" thickBot="1">
      <c r="C19" s="197" t="s">
        <v>164</v>
      </c>
      <c r="D19" s="198"/>
      <c r="E19" s="198"/>
      <c r="F19" s="199"/>
      <c r="G19" s="46">
        <v>1</v>
      </c>
      <c r="X19" s="35"/>
      <c r="Y19" s="35"/>
      <c r="Z19" s="197" t="s">
        <v>164</v>
      </c>
      <c r="AA19" s="198"/>
      <c r="AB19" s="198"/>
      <c r="AC19" s="199"/>
      <c r="AD19" s="46">
        <v>1</v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97" t="s">
        <v>164</v>
      </c>
      <c r="AQ19" s="198"/>
      <c r="AR19" s="198"/>
      <c r="AS19" s="199"/>
      <c r="AT19" s="46">
        <v>2</v>
      </c>
      <c r="AY19" s="197" t="s">
        <v>164</v>
      </c>
      <c r="AZ19" s="198"/>
      <c r="BA19" s="198"/>
      <c r="BB19" s="199"/>
      <c r="BC19" s="46">
        <v>9</v>
      </c>
      <c r="BH19" s="197" t="s">
        <v>164</v>
      </c>
      <c r="BI19" s="198"/>
      <c r="BJ19" s="198"/>
      <c r="BK19" s="199"/>
      <c r="BL19" s="46">
        <v>11</v>
      </c>
      <c r="BQ19" s="197" t="s">
        <v>164</v>
      </c>
      <c r="BR19" s="198"/>
      <c r="BS19" s="198"/>
      <c r="BT19" s="199"/>
      <c r="BU19" s="46">
        <v>12</v>
      </c>
      <c r="BX19" s="35"/>
      <c r="BY19" s="35"/>
      <c r="BZ19" s="197" t="s">
        <v>164</v>
      </c>
      <c r="CA19" s="198"/>
      <c r="CB19" s="198"/>
      <c r="CC19" s="199"/>
      <c r="CD19" s="46">
        <v>13</v>
      </c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P19" s="197" t="s">
        <v>164</v>
      </c>
      <c r="CQ19" s="198"/>
      <c r="CR19" s="198"/>
      <c r="CS19" s="199"/>
      <c r="CT19" s="46">
        <v>14</v>
      </c>
      <c r="CY19" s="197" t="s">
        <v>164</v>
      </c>
      <c r="CZ19" s="198"/>
      <c r="DA19" s="198"/>
      <c r="DB19" s="199"/>
      <c r="DC19" s="46">
        <v>16</v>
      </c>
      <c r="DH19" s="197" t="s">
        <v>164</v>
      </c>
      <c r="DI19" s="198"/>
      <c r="DJ19" s="198"/>
      <c r="DK19" s="199"/>
      <c r="DL19" s="46">
        <v>17</v>
      </c>
    </row>
    <row r="20" spans="2:125" ht="15.75" thickBot="1">
      <c r="B20" s="205" t="s">
        <v>165</v>
      </c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7"/>
      <c r="X20" s="35"/>
      <c r="Y20" s="202" t="s">
        <v>166</v>
      </c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4"/>
      <c r="AN20" s="35"/>
      <c r="AO20" s="202" t="s">
        <v>167</v>
      </c>
      <c r="AP20" s="203"/>
      <c r="AQ20" s="203"/>
      <c r="AR20" s="203"/>
      <c r="AS20" s="203"/>
      <c r="AT20" s="203"/>
      <c r="AU20" s="203"/>
      <c r="AV20" s="204"/>
      <c r="AX20" s="202" t="s">
        <v>168</v>
      </c>
      <c r="AY20" s="203"/>
      <c r="AZ20" s="203"/>
      <c r="BA20" s="203"/>
      <c r="BB20" s="203"/>
      <c r="BC20" s="203"/>
      <c r="BD20" s="203"/>
      <c r="BE20" s="204"/>
      <c r="BG20" s="202" t="s">
        <v>169</v>
      </c>
      <c r="BH20" s="203"/>
      <c r="BI20" s="203"/>
      <c r="BJ20" s="203"/>
      <c r="BK20" s="203"/>
      <c r="BL20" s="203"/>
      <c r="BM20" s="203"/>
      <c r="BN20" s="204"/>
      <c r="BP20" s="202" t="s">
        <v>170</v>
      </c>
      <c r="BQ20" s="203"/>
      <c r="BR20" s="203"/>
      <c r="BS20" s="203"/>
      <c r="BT20" s="203"/>
      <c r="BU20" s="203"/>
      <c r="BV20" s="203"/>
      <c r="BW20" s="204"/>
      <c r="BX20" s="35"/>
      <c r="BY20" s="202" t="s">
        <v>171</v>
      </c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4"/>
      <c r="CN20" s="35"/>
      <c r="CO20" s="202" t="s">
        <v>172</v>
      </c>
      <c r="CP20" s="203"/>
      <c r="CQ20" s="203"/>
      <c r="CR20" s="203"/>
      <c r="CS20" s="203"/>
      <c r="CT20" s="203"/>
      <c r="CU20" s="203"/>
      <c r="CV20" s="204"/>
      <c r="CX20" s="202" t="s">
        <v>173</v>
      </c>
      <c r="CY20" s="203"/>
      <c r="CZ20" s="203"/>
      <c r="DA20" s="203"/>
      <c r="DB20" s="203"/>
      <c r="DC20" s="203"/>
      <c r="DD20" s="203"/>
      <c r="DE20" s="204"/>
      <c r="DG20" s="205" t="s">
        <v>174</v>
      </c>
      <c r="DH20" s="206"/>
      <c r="DI20" s="206"/>
      <c r="DJ20" s="206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07"/>
    </row>
    <row r="21" spans="2:125" ht="15.75" thickBot="1">
      <c r="B21" s="5"/>
      <c r="C21" s="20"/>
      <c r="D21" s="20"/>
      <c r="E21" s="20"/>
      <c r="F21" s="20"/>
      <c r="G21" s="20"/>
      <c r="H21" s="20"/>
      <c r="I21" s="6"/>
      <c r="J21" s="20"/>
      <c r="K21" s="20"/>
      <c r="L21" s="20"/>
      <c r="M21" s="20"/>
      <c r="N21" s="20"/>
      <c r="O21" s="20"/>
      <c r="P21" s="6"/>
      <c r="Q21" s="20"/>
      <c r="R21" s="20"/>
      <c r="S21" s="20"/>
      <c r="T21" s="20"/>
      <c r="U21" s="20"/>
      <c r="V21" s="20"/>
      <c r="W21" s="7"/>
      <c r="X21" s="35"/>
      <c r="Y21" s="5"/>
      <c r="Z21" s="20"/>
      <c r="AA21" s="20"/>
      <c r="AB21" s="20"/>
      <c r="AC21" s="20"/>
      <c r="AD21" s="20"/>
      <c r="AE21" s="20"/>
      <c r="AF21" s="5"/>
      <c r="AG21" s="20"/>
      <c r="AH21" s="20"/>
      <c r="AI21" s="20"/>
      <c r="AJ21" s="20"/>
      <c r="AK21" s="20"/>
      <c r="AL21" s="20"/>
      <c r="AM21" s="7"/>
      <c r="AN21" s="35"/>
      <c r="AO21" s="5"/>
      <c r="AP21" s="20"/>
      <c r="AQ21" s="20"/>
      <c r="AR21" s="20"/>
      <c r="AS21" s="20"/>
      <c r="AT21" s="20"/>
      <c r="AU21" s="20"/>
      <c r="AV21" s="7"/>
      <c r="AX21" s="5"/>
      <c r="AY21" s="20"/>
      <c r="AZ21" s="20"/>
      <c r="BA21" s="20"/>
      <c r="BB21" s="20"/>
      <c r="BC21" s="20"/>
      <c r="BD21" s="20"/>
      <c r="BE21" s="7"/>
      <c r="BG21" s="5"/>
      <c r="BH21" s="20"/>
      <c r="BI21" s="20"/>
      <c r="BJ21" s="20"/>
      <c r="BK21" s="20"/>
      <c r="BL21" s="20"/>
      <c r="BM21" s="20"/>
      <c r="BN21" s="7"/>
      <c r="BP21" s="5"/>
      <c r="BQ21" s="20"/>
      <c r="BR21" s="20"/>
      <c r="BS21" s="20"/>
      <c r="BT21" s="20"/>
      <c r="BU21" s="20"/>
      <c r="BV21" s="20"/>
      <c r="BW21" s="7"/>
      <c r="BX21" s="35"/>
      <c r="BY21" s="5"/>
      <c r="BZ21" s="20"/>
      <c r="CA21" s="20"/>
      <c r="CB21" s="20"/>
      <c r="CC21" s="20"/>
      <c r="CD21" s="20"/>
      <c r="CE21" s="20"/>
      <c r="CF21" s="5"/>
      <c r="CG21" s="20"/>
      <c r="CH21" s="20"/>
      <c r="CI21" s="20"/>
      <c r="CJ21" s="20"/>
      <c r="CK21" s="20"/>
      <c r="CL21" s="20"/>
      <c r="CM21" s="7"/>
      <c r="CN21" s="35"/>
      <c r="CO21" s="5"/>
      <c r="CP21" s="20"/>
      <c r="CQ21" s="20"/>
      <c r="CR21" s="20"/>
      <c r="CS21" s="20"/>
      <c r="CT21" s="20"/>
      <c r="CU21" s="20"/>
      <c r="CV21" s="7"/>
      <c r="CX21" s="5"/>
      <c r="CY21" s="20"/>
      <c r="CZ21" s="20"/>
      <c r="DA21" s="20"/>
      <c r="DB21" s="20"/>
      <c r="DC21" s="20"/>
      <c r="DD21" s="20"/>
      <c r="DE21" s="7"/>
      <c r="DG21" s="5"/>
      <c r="DH21" s="20"/>
      <c r="DI21" s="20"/>
      <c r="DJ21" s="20"/>
      <c r="DK21" s="20"/>
      <c r="DL21" s="20"/>
      <c r="DM21" s="20"/>
      <c r="DN21" s="6"/>
      <c r="DO21" s="20"/>
      <c r="DP21" s="20"/>
      <c r="DQ21" s="20"/>
      <c r="DR21" s="20"/>
      <c r="DS21" s="20"/>
      <c r="DT21" s="20"/>
      <c r="DU21" s="7"/>
    </row>
    <row r="22" spans="2:125" ht="15.75" thickBot="1">
      <c r="B22" s="19"/>
      <c r="C22" s="122" t="s">
        <v>175</v>
      </c>
      <c r="D22" s="123" t="s">
        <v>144</v>
      </c>
      <c r="E22" s="123" t="s">
        <v>176</v>
      </c>
      <c r="F22" s="123" t="s">
        <v>129</v>
      </c>
      <c r="G22" s="123" t="s">
        <v>140</v>
      </c>
      <c r="H22" s="124" t="s">
        <v>177</v>
      </c>
      <c r="I22" s="21"/>
      <c r="J22" s="122" t="s">
        <v>175</v>
      </c>
      <c r="K22" s="123" t="s">
        <v>144</v>
      </c>
      <c r="L22" s="123" t="s">
        <v>176</v>
      </c>
      <c r="M22" s="123" t="s">
        <v>129</v>
      </c>
      <c r="N22" s="123" t="s">
        <v>140</v>
      </c>
      <c r="O22" s="124" t="s">
        <v>177</v>
      </c>
      <c r="P22" s="21"/>
      <c r="Q22" s="122" t="s">
        <v>175</v>
      </c>
      <c r="R22" s="123" t="s">
        <v>144</v>
      </c>
      <c r="S22" s="123" t="s">
        <v>176</v>
      </c>
      <c r="T22" s="123" t="s">
        <v>129</v>
      </c>
      <c r="U22" s="123" t="s">
        <v>140</v>
      </c>
      <c r="V22" s="124" t="s">
        <v>177</v>
      </c>
      <c r="W22" s="22"/>
      <c r="X22" s="35"/>
      <c r="Y22" s="19"/>
      <c r="Z22" s="122" t="s">
        <v>175</v>
      </c>
      <c r="AA22" s="123" t="s">
        <v>144</v>
      </c>
      <c r="AB22" s="123" t="s">
        <v>176</v>
      </c>
      <c r="AC22" s="123" t="s">
        <v>129</v>
      </c>
      <c r="AD22" s="123" t="s">
        <v>140</v>
      </c>
      <c r="AE22" s="124" t="s">
        <v>177</v>
      </c>
      <c r="AF22" s="19"/>
      <c r="AG22" s="122" t="s">
        <v>175</v>
      </c>
      <c r="AH22" s="123" t="s">
        <v>144</v>
      </c>
      <c r="AI22" s="123" t="s">
        <v>176</v>
      </c>
      <c r="AJ22" s="123" t="s">
        <v>129</v>
      </c>
      <c r="AK22" s="123" t="s">
        <v>140</v>
      </c>
      <c r="AL22" s="124" t="s">
        <v>177</v>
      </c>
      <c r="AM22" s="22"/>
      <c r="AN22" s="35"/>
      <c r="AO22" s="19"/>
      <c r="AP22" s="122" t="s">
        <v>175</v>
      </c>
      <c r="AQ22" s="123" t="s">
        <v>144</v>
      </c>
      <c r="AR22" s="123" t="s">
        <v>176</v>
      </c>
      <c r="AS22" s="123" t="s">
        <v>129</v>
      </c>
      <c r="AT22" s="123" t="s">
        <v>140</v>
      </c>
      <c r="AU22" s="124" t="s">
        <v>177</v>
      </c>
      <c r="AV22" s="22"/>
      <c r="AX22" s="19"/>
      <c r="AY22" s="122" t="s">
        <v>175</v>
      </c>
      <c r="AZ22" s="123" t="s">
        <v>144</v>
      </c>
      <c r="BA22" s="123" t="s">
        <v>176</v>
      </c>
      <c r="BB22" s="123" t="s">
        <v>129</v>
      </c>
      <c r="BC22" s="123" t="s">
        <v>140</v>
      </c>
      <c r="BD22" s="124" t="s">
        <v>177</v>
      </c>
      <c r="BE22" s="22"/>
      <c r="BG22" s="19"/>
      <c r="BH22" s="122" t="s">
        <v>175</v>
      </c>
      <c r="BI22" s="123" t="s">
        <v>144</v>
      </c>
      <c r="BJ22" s="123" t="s">
        <v>176</v>
      </c>
      <c r="BK22" s="123" t="s">
        <v>129</v>
      </c>
      <c r="BL22" s="123" t="s">
        <v>140</v>
      </c>
      <c r="BM22" s="124" t="s">
        <v>177</v>
      </c>
      <c r="BN22" s="22"/>
      <c r="BP22" s="19"/>
      <c r="BQ22" s="122" t="s">
        <v>175</v>
      </c>
      <c r="BR22" s="123" t="s">
        <v>144</v>
      </c>
      <c r="BS22" s="123" t="s">
        <v>176</v>
      </c>
      <c r="BT22" s="123" t="s">
        <v>129</v>
      </c>
      <c r="BU22" s="123" t="s">
        <v>140</v>
      </c>
      <c r="BV22" s="124" t="s">
        <v>177</v>
      </c>
      <c r="BW22" s="22"/>
      <c r="BX22" s="35"/>
      <c r="BY22" s="19"/>
      <c r="BZ22" s="122" t="s">
        <v>175</v>
      </c>
      <c r="CA22" s="123" t="s">
        <v>144</v>
      </c>
      <c r="CB22" s="123" t="s">
        <v>176</v>
      </c>
      <c r="CC22" s="123" t="s">
        <v>129</v>
      </c>
      <c r="CD22" s="123" t="s">
        <v>140</v>
      </c>
      <c r="CE22" s="124" t="s">
        <v>177</v>
      </c>
      <c r="CF22" s="19"/>
      <c r="CG22" s="122" t="s">
        <v>175</v>
      </c>
      <c r="CH22" s="123" t="s">
        <v>144</v>
      </c>
      <c r="CI22" s="123" t="s">
        <v>176</v>
      </c>
      <c r="CJ22" s="123" t="s">
        <v>129</v>
      </c>
      <c r="CK22" s="123" t="s">
        <v>140</v>
      </c>
      <c r="CL22" s="124" t="s">
        <v>177</v>
      </c>
      <c r="CM22" s="22"/>
      <c r="CN22" s="35"/>
      <c r="CO22" s="19"/>
      <c r="CP22" s="122" t="s">
        <v>175</v>
      </c>
      <c r="CQ22" s="123" t="s">
        <v>144</v>
      </c>
      <c r="CR22" s="123" t="s">
        <v>176</v>
      </c>
      <c r="CS22" s="123" t="s">
        <v>129</v>
      </c>
      <c r="CT22" s="123" t="s">
        <v>140</v>
      </c>
      <c r="CU22" s="124" t="s">
        <v>177</v>
      </c>
      <c r="CV22" s="22"/>
      <c r="CX22" s="19"/>
      <c r="CY22" s="122" t="s">
        <v>175</v>
      </c>
      <c r="CZ22" s="123" t="s">
        <v>144</v>
      </c>
      <c r="DA22" s="123" t="s">
        <v>176</v>
      </c>
      <c r="DB22" s="123" t="s">
        <v>129</v>
      </c>
      <c r="DC22" s="123" t="s">
        <v>140</v>
      </c>
      <c r="DD22" s="124" t="s">
        <v>177</v>
      </c>
      <c r="DE22" s="22"/>
      <c r="DG22" s="19"/>
      <c r="DH22" s="122" t="s">
        <v>175</v>
      </c>
      <c r="DI22" s="123" t="s">
        <v>144</v>
      </c>
      <c r="DJ22" s="123" t="s">
        <v>176</v>
      </c>
      <c r="DK22" s="123" t="s">
        <v>129</v>
      </c>
      <c r="DL22" s="123" t="s">
        <v>140</v>
      </c>
      <c r="DM22" s="124" t="s">
        <v>177</v>
      </c>
      <c r="DN22" s="21"/>
      <c r="DO22" s="122" t="s">
        <v>175</v>
      </c>
      <c r="DP22" s="123" t="s">
        <v>144</v>
      </c>
      <c r="DQ22" s="123" t="s">
        <v>176</v>
      </c>
      <c r="DR22" s="123" t="s">
        <v>129</v>
      </c>
      <c r="DS22" s="123" t="s">
        <v>140</v>
      </c>
      <c r="DT22" s="124" t="s">
        <v>177</v>
      </c>
      <c r="DU22" s="22"/>
    </row>
    <row r="23" spans="2:125" ht="14.45" customHeight="1" thickBot="1">
      <c r="B23" s="19"/>
      <c r="C23" s="194" t="s">
        <v>178</v>
      </c>
      <c r="D23" s="195"/>
      <c r="E23" s="195"/>
      <c r="F23" s="195"/>
      <c r="G23" s="196"/>
      <c r="H23" s="162" t="str">
        <f>CONCATENATE("10.",TEXT(128+BITWISE_AND(G18,G68)/4,0),".",TEXT((BITWISE_AND(G69,G18)*64+BITWISE_AND(G71,31)/4)+7*8,0),".",TEXT(248,0))</f>
        <v>10.128.127.248</v>
      </c>
      <c r="I23" s="21"/>
      <c r="J23" s="194" t="s">
        <v>178</v>
      </c>
      <c r="K23" s="195"/>
      <c r="L23" s="195"/>
      <c r="M23" s="195"/>
      <c r="N23" s="196"/>
      <c r="O23" s="162" t="str">
        <f>CONCATENATE("10.",TEXT(128+BITWISE_AND(G18,G68)/4,0),".",TEXT((BITWISE_AND(G69,G18)*64+BITWISE_AND(G71,31)/4)+7*8,0),".",TEXT(250,0))</f>
        <v>10.128.127.250</v>
      </c>
      <c r="P23" s="21"/>
      <c r="Q23" s="194" t="s">
        <v>178</v>
      </c>
      <c r="R23" s="195"/>
      <c r="S23" s="195"/>
      <c r="T23" s="195"/>
      <c r="U23" s="196"/>
      <c r="V23" s="162" t="str">
        <f>CONCATENATE("10.",TEXT(128+BITWISE_AND(G18,G68)/4,0),".",TEXT((BITWISE_AND(G69,G18)*64+BITWISE_AND(G71,31)/4)+7*8,0),".",TEXT(252,0))</f>
        <v>10.128.127.252</v>
      </c>
      <c r="W23" s="22"/>
      <c r="X23" s="35"/>
      <c r="Y23" s="19"/>
      <c r="Z23" s="194" t="s">
        <v>178</v>
      </c>
      <c r="AA23" s="195"/>
      <c r="AB23" s="195"/>
      <c r="AC23" s="195"/>
      <c r="AD23" s="196"/>
      <c r="AE23" s="162" t="str">
        <f>CONCATENATE("10.",TEXT(128+BITWISE_AND(AD18,G68)/4,0),".",TEXT((BITWISE_AND(G69,AD18)*64+BITWISE_AND(G71,31)/4)+7*8,0),".",TEXT(248,0))</f>
        <v>10.128.63.248</v>
      </c>
      <c r="AF23" s="19"/>
      <c r="AG23" s="194" t="s">
        <v>178</v>
      </c>
      <c r="AH23" s="195"/>
      <c r="AI23" s="195"/>
      <c r="AJ23" s="195"/>
      <c r="AK23" s="196"/>
      <c r="AL23" s="121" t="str">
        <f>CONCATENATE("10.",TEXT(128+BITWISE_AND(AD18,G68)/4,0),".",TEXT((BITWISE_AND(G69,AD18)*64+BITWISE_AND(G71,AD19)/4)+7*8,0),".",TEXT(BITWISE_AND(G72,AD19)*64+AG24+41,0))</f>
        <v>10.128.56.107</v>
      </c>
      <c r="AM23" s="22"/>
      <c r="AN23" s="35"/>
      <c r="AO23" s="19"/>
      <c r="AP23" s="194" t="s">
        <v>178</v>
      </c>
      <c r="AQ23" s="195"/>
      <c r="AR23" s="195"/>
      <c r="AS23" s="195"/>
      <c r="AT23" s="196"/>
      <c r="AU23" s="121" t="str">
        <f>CONCATENATE("10.",TEXT(128+BITWISE_AND(AT18,G68)/4,0),".",TEXT((BITWISE_AND(G69,AT18)*64+BITWISE_AND(G71,AT19)/4)+7*8,0),".",TEXT(BITWISE_AND(G72,AT19)*64+AP24+41,0))</f>
        <v>10.128.184.169</v>
      </c>
      <c r="AV23" s="22"/>
      <c r="AX23" s="19"/>
      <c r="AY23" s="194" t="s">
        <v>178</v>
      </c>
      <c r="AZ23" s="195"/>
      <c r="BA23" s="195"/>
      <c r="BB23" s="195"/>
      <c r="BC23" s="196"/>
      <c r="BD23" s="121" t="str">
        <f>CONCATENATE("10.",TEXT(128+BITWISE_AND(BC18,G68)/4,0),".",TEXT((BITWISE_AND(G69,BC18)*64+BITWISE_AND(G71,BC19)/4)+7*8,0),".",TEXT(BITWISE_AND(G72,BC19)*64+AY24+41,0))</f>
        <v>10.128.186.105</v>
      </c>
      <c r="BE23" s="22"/>
      <c r="BG23" s="19"/>
      <c r="BH23" s="194" t="s">
        <v>178</v>
      </c>
      <c r="BI23" s="195"/>
      <c r="BJ23" s="195"/>
      <c r="BK23" s="195"/>
      <c r="BL23" s="196"/>
      <c r="BM23" s="121" t="str">
        <f>CONCATENATE("10.",TEXT(128+BITWISE_AND(BL18,G68)/4,0),".",TEXT((BITWISE_AND(G69,BL18)*64+BITWISE_AND(G71,BL19)/4)+7*8,0),".",TEXT(BITWISE_AND(G72,BL19)*64+BH24+41,0))</f>
        <v>10.128.186.233</v>
      </c>
      <c r="BN23" s="22"/>
      <c r="BP23" s="19"/>
      <c r="BQ23" s="194" t="s">
        <v>178</v>
      </c>
      <c r="BR23" s="195"/>
      <c r="BS23" s="195"/>
      <c r="BT23" s="195"/>
      <c r="BU23" s="196"/>
      <c r="BV23" s="121" t="str">
        <f>CONCATENATE("10.",TEXT(128+BITWISE_AND(BU18,G68)/4,0),".",TEXT((BITWISE_AND(G69,BU18)*64+BITWISE_AND(G71,BU19)/4)+7*8,0),".",TEXT(BITWISE_AND(G72,BU19)*64+BQ24+41,0))</f>
        <v>10.128.187.41</v>
      </c>
      <c r="BW23" s="22"/>
      <c r="BX23" s="35"/>
      <c r="BY23" s="19"/>
      <c r="BZ23" s="194" t="s">
        <v>178</v>
      </c>
      <c r="CA23" s="195"/>
      <c r="CB23" s="195"/>
      <c r="CC23" s="195"/>
      <c r="CD23" s="196"/>
      <c r="CE23" s="162" t="str">
        <f>CONCATENATE("10.",TEXT(128+BITWISE_AND(CD18,G68)/4,0),".",TEXT((BITWISE_AND(G69,CD18)*64+BITWISE_AND(G71,31)/4)+7*8,0),".",TEXT(250,0))</f>
        <v>10.128.191.250</v>
      </c>
      <c r="CF23" s="19"/>
      <c r="CG23" s="194" t="s">
        <v>178</v>
      </c>
      <c r="CH23" s="195"/>
      <c r="CI23" s="195"/>
      <c r="CJ23" s="195"/>
      <c r="CK23" s="196"/>
      <c r="CL23" s="162" t="str">
        <f>CONCATENATE("10.",TEXT(128+BITWISE_AND(CD18,G68)/4,0),".",TEXT((BITWISE_AND(G69,CD18)*64+BITWISE_AND(G71,31)/4)+7*8,0),".",TEXT(252,0))</f>
        <v>10.128.191.252</v>
      </c>
      <c r="CM23" s="22"/>
      <c r="CN23" s="35"/>
      <c r="CO23" s="19"/>
      <c r="CP23" s="194" t="s">
        <v>178</v>
      </c>
      <c r="CQ23" s="195"/>
      <c r="CR23" s="195"/>
      <c r="CS23" s="195"/>
      <c r="CT23" s="196"/>
      <c r="CU23" s="121" t="str">
        <f>CONCATENATE("10.",TEXT(128+BITWISE_AND(CT18,G68)/4,0),".",TEXT((BITWISE_AND(G69,CT18)*64+BITWISE_AND(G71,CT19)/4)+7*8,0),".",TEXT(BITWISE_AND(G72,CT19)*64+CP24+41,0))</f>
        <v>10.128.187.169</v>
      </c>
      <c r="CV23" s="22"/>
      <c r="CX23" s="19"/>
      <c r="CY23" s="194" t="s">
        <v>178</v>
      </c>
      <c r="CZ23" s="195"/>
      <c r="DA23" s="195"/>
      <c r="DB23" s="195"/>
      <c r="DC23" s="196"/>
      <c r="DD23" s="121" t="str">
        <f>CONCATENATE("10.",TEXT(128+BITWISE_AND(DC18,G68)/4,0),".",TEXT((BITWISE_AND(G69,DC18)*64+BITWISE_AND(G71,DC19)/4)+7*8,0),".",TEXT(BITWISE_AND(G72,DC19)*64+CY24+41,0))</f>
        <v>10.128.188.41</v>
      </c>
      <c r="DE23" s="22"/>
      <c r="DG23" s="19"/>
      <c r="DH23" s="194" t="s">
        <v>178</v>
      </c>
      <c r="DI23" s="195"/>
      <c r="DJ23" s="195"/>
      <c r="DK23" s="195"/>
      <c r="DL23" s="196"/>
      <c r="DM23" s="121" t="str">
        <f>CONCATENATE("10.",TEXT(128+BITWISE_AND(DL18,G68)/4,0),".",TEXT((BITWISE_AND(G69,DL18)*64+BITWISE_AND(G71,DL19)/4)+7*8,0),".",TEXT(BITWISE_AND(G72,DL19)*64+DH24+41,0))</f>
        <v>10.128.188.105</v>
      </c>
      <c r="DN23" s="21"/>
      <c r="DO23" s="194" t="s">
        <v>178</v>
      </c>
      <c r="DP23" s="195"/>
      <c r="DQ23" s="195"/>
      <c r="DR23" s="195"/>
      <c r="DS23" s="196"/>
      <c r="DT23" s="121" t="str">
        <f>CONCATENATE("10.",TEXT(128+BITWISE_AND(DL18,G68)/4,0),".",TEXT((BITWISE_AND(G69,DL18)*64+BITWISE_AND(G71,DL19)/4)+7*8,0),".",TEXT(BITWISE_AND(G72,DL19)*64+DO24+41,0))</f>
        <v>10.128.188.107</v>
      </c>
      <c r="DU23" s="22"/>
    </row>
    <row r="24" spans="2:125" ht="14.45" customHeight="1" thickBot="1">
      <c r="B24" s="19"/>
      <c r="C24" s="44">
        <v>0</v>
      </c>
      <c r="D24" s="37" t="s">
        <v>179</v>
      </c>
      <c r="E24" s="43">
        <v>0</v>
      </c>
      <c r="F24" s="43">
        <v>1</v>
      </c>
      <c r="G24" s="38" t="s">
        <v>180</v>
      </c>
      <c r="H24" s="39" t="str">
        <f>CONCATENATE("10.",TEXT(128+BITWISE_AND(G18,G68)/4,0),".",TEXT(BITWISE_AND(G69,G18)*64+F24*8+BITWISE_AND(G71,G19)/4,0),".",TEXT(BITWISE_AND(G72,G19)*64+C24*10+E24,0))</f>
        <v>10.128.72.64</v>
      </c>
      <c r="I24" s="21"/>
      <c r="J24" s="44">
        <v>2</v>
      </c>
      <c r="K24" s="27" t="s">
        <v>179</v>
      </c>
      <c r="L24" s="27">
        <v>0</v>
      </c>
      <c r="M24" s="27">
        <v>1</v>
      </c>
      <c r="N24" s="3" t="s">
        <v>181</v>
      </c>
      <c r="O24" s="39" t="str">
        <f>CONCATENATE("10.",TEXT(128+BITWISE_AND(G18,G68)/4,0),".",TEXT(BITWISE_AND(G69,G18)*64+M24*8+BITWISE_AND(G71,G19)/4,0),".",TEXT(BITWISE_AND(G72,G19)*64+J24*10+L24,0))</f>
        <v>10.128.72.84</v>
      </c>
      <c r="P24" s="21"/>
      <c r="Q24" s="50">
        <v>4</v>
      </c>
      <c r="R24" s="37" t="s">
        <v>179</v>
      </c>
      <c r="S24" s="38">
        <v>0</v>
      </c>
      <c r="T24" s="38">
        <v>1</v>
      </c>
      <c r="U24" s="38" t="s">
        <v>182</v>
      </c>
      <c r="V24" s="39" t="str">
        <f>CONCATENATE("10.",TEXT(128+BITWISE_AND(G18,G68)/4,0),".",TEXT(BITWISE_AND(G69,G18)*64+T24*8+BITWISE_AND(G71,G19)/4,0),".",TEXT(BITWISE_AND(G72,G19)*64+Q24*10+S24,0))</f>
        <v>10.128.72.104</v>
      </c>
      <c r="W24" s="22"/>
      <c r="X24" s="35"/>
      <c r="Y24" s="19"/>
      <c r="Z24" s="44">
        <v>0</v>
      </c>
      <c r="AA24" s="27" t="s">
        <v>179</v>
      </c>
      <c r="AB24" s="27">
        <v>0</v>
      </c>
      <c r="AC24" s="27">
        <v>2</v>
      </c>
      <c r="AD24" s="34" t="s">
        <v>183</v>
      </c>
      <c r="AE24" s="136" t="str">
        <f>AE42</f>
        <v>10.128.16.74</v>
      </c>
      <c r="AF24" s="19"/>
      <c r="AG24" s="50">
        <v>2</v>
      </c>
      <c r="AH24" s="37" t="s">
        <v>179</v>
      </c>
      <c r="AI24" s="38">
        <v>0</v>
      </c>
      <c r="AJ24" s="38">
        <v>7</v>
      </c>
      <c r="AK24" s="38"/>
      <c r="AL24" s="39" t="str">
        <f>CONCATENATE("10.",TEXT(128+BITWISE_AND(AD18,G68)/4,0),".",TEXT(BITWISE_AND(G69,AD18)*64+AJ24*8+BITWISE_AND(G71,AD19)/4,0),".",TEXT(BITWISE_AND(G72,AD19)*64+AG24*10+AI24,0))</f>
        <v>10.128.56.84</v>
      </c>
      <c r="AM24" s="22"/>
      <c r="AN24" s="35"/>
      <c r="AO24" s="19"/>
      <c r="AP24" s="44">
        <v>0</v>
      </c>
      <c r="AQ24" s="27" t="s">
        <v>179</v>
      </c>
      <c r="AR24" s="27">
        <v>0</v>
      </c>
      <c r="AS24" s="27">
        <v>2</v>
      </c>
      <c r="AT24" s="34" t="s">
        <v>183</v>
      </c>
      <c r="AU24" s="136" t="str">
        <f>AU42</f>
        <v>10.128.144.138</v>
      </c>
      <c r="AV24" s="22"/>
      <c r="AX24" s="19"/>
      <c r="AY24" s="44">
        <v>0</v>
      </c>
      <c r="AZ24" s="27" t="s">
        <v>179</v>
      </c>
      <c r="BA24" s="27">
        <v>0</v>
      </c>
      <c r="BB24" s="27">
        <v>2</v>
      </c>
      <c r="BC24" s="34" t="s">
        <v>183</v>
      </c>
      <c r="BD24" s="136" t="str">
        <f>BD42</f>
        <v>10.128.146.74</v>
      </c>
      <c r="BE24" s="22"/>
      <c r="BG24" s="19"/>
      <c r="BH24" s="44">
        <v>0</v>
      </c>
      <c r="BI24" s="27" t="s">
        <v>179</v>
      </c>
      <c r="BJ24" s="27">
        <v>0</v>
      </c>
      <c r="BK24" s="27">
        <v>2</v>
      </c>
      <c r="BL24" s="34" t="s">
        <v>183</v>
      </c>
      <c r="BM24" s="136" t="str">
        <f>BM42</f>
        <v>10.128.146.202</v>
      </c>
      <c r="BN24" s="22"/>
      <c r="BP24" s="19"/>
      <c r="BQ24" s="44">
        <v>0</v>
      </c>
      <c r="BR24" s="27" t="s">
        <v>179</v>
      </c>
      <c r="BS24" s="27">
        <v>0</v>
      </c>
      <c r="BT24" s="27">
        <v>2</v>
      </c>
      <c r="BU24" s="34" t="s">
        <v>183</v>
      </c>
      <c r="BV24" s="136" t="str">
        <f>BV42</f>
        <v>10.128.147.10</v>
      </c>
      <c r="BW24" s="22"/>
      <c r="BX24" s="35"/>
      <c r="BY24" s="19"/>
      <c r="BZ24" s="44">
        <v>0</v>
      </c>
      <c r="CA24" s="27" t="s">
        <v>179</v>
      </c>
      <c r="CB24" s="27">
        <v>0</v>
      </c>
      <c r="CC24" s="27">
        <v>2</v>
      </c>
      <c r="CD24" s="34" t="s">
        <v>183</v>
      </c>
      <c r="CE24" s="136" t="str">
        <f>CE42</f>
        <v>10.128.147.74</v>
      </c>
      <c r="CF24" s="19"/>
      <c r="CG24" s="44">
        <v>2</v>
      </c>
      <c r="CH24" s="27" t="s">
        <v>179</v>
      </c>
      <c r="CI24" s="27">
        <v>0</v>
      </c>
      <c r="CJ24" s="27">
        <v>4</v>
      </c>
      <c r="CK24" s="34" t="s">
        <v>184</v>
      </c>
      <c r="CL24" s="162" t="str">
        <f>CONCATENATE("10.",TEXT(128+BITWISE_AND(CD18,G68)/4,0),".",TEXT((BITWISE_AND(G69,CD18)*64+BITWISE_AND(G71,0)/4)+4*8,0),".",TEXT(20,0))</f>
        <v>10.128.160.20</v>
      </c>
      <c r="CM24" s="22"/>
      <c r="CN24" s="35"/>
      <c r="CO24" s="19"/>
      <c r="CP24" s="44">
        <v>0</v>
      </c>
      <c r="CQ24" s="27" t="s">
        <v>179</v>
      </c>
      <c r="CR24" s="27">
        <v>0</v>
      </c>
      <c r="CS24" s="27">
        <v>2</v>
      </c>
      <c r="CT24" s="34" t="s">
        <v>183</v>
      </c>
      <c r="CU24" s="136" t="str">
        <f>CU42</f>
        <v>10.128.147.138</v>
      </c>
      <c r="CV24" s="22"/>
      <c r="CX24" s="19"/>
      <c r="CY24" s="44">
        <v>0</v>
      </c>
      <c r="CZ24" s="27" t="s">
        <v>179</v>
      </c>
      <c r="DA24" s="27">
        <v>0</v>
      </c>
      <c r="DB24" s="27">
        <v>2</v>
      </c>
      <c r="DC24" s="34" t="s">
        <v>183</v>
      </c>
      <c r="DD24" s="136" t="str">
        <f>DD42</f>
        <v>10.128.148.10</v>
      </c>
      <c r="DE24" s="22"/>
      <c r="DG24" s="19"/>
      <c r="DH24" s="44">
        <v>0</v>
      </c>
      <c r="DI24" s="27" t="s">
        <v>179</v>
      </c>
      <c r="DJ24" s="27">
        <v>0</v>
      </c>
      <c r="DK24" s="27">
        <v>2</v>
      </c>
      <c r="DL24" s="34" t="s">
        <v>185</v>
      </c>
      <c r="DM24" s="39" t="str">
        <f>CONCATENATE("10.",TEXT(128+BITWISE_AND(DL18,G68)/4,0),".",TEXT(BITWISE_AND(G69,DL18)*64+DK24*8+BITWISE_AND(G71,DL19)/4,0),".",TEXT(BITWISE_AND(G72,DL19)*64+DH24*10+DJ24,0))</f>
        <v>10.128.148.64</v>
      </c>
      <c r="DN24" s="21"/>
      <c r="DO24" s="50">
        <v>2</v>
      </c>
      <c r="DP24" s="37" t="s">
        <v>179</v>
      </c>
      <c r="DQ24" s="38">
        <v>0</v>
      </c>
      <c r="DR24" s="38">
        <v>2</v>
      </c>
      <c r="DS24" s="51" t="s">
        <v>186</v>
      </c>
      <c r="DT24" s="39" t="str">
        <f>CONCATENATE("10.",TEXT(128+BITWISE_AND(DL18,G68)/4,0),".",TEXT(BITWISE_AND(G69,DL18)*64+DR24*8+BITWISE_AND(G71,DL19)/4,0),".",TEXT(BITWISE_AND(G72,DL19)*64+DO24*10+DQ24,0))</f>
        <v>10.128.148.84</v>
      </c>
      <c r="DU24" s="22"/>
    </row>
    <row r="25" spans="2:125" ht="40.15" customHeight="1" thickBot="1">
      <c r="B25" s="19"/>
      <c r="C25" s="191" t="s">
        <v>187</v>
      </c>
      <c r="D25" s="40" t="s">
        <v>188</v>
      </c>
      <c r="E25" s="24">
        <v>1</v>
      </c>
      <c r="F25" s="24">
        <v>1</v>
      </c>
      <c r="G25" s="1" t="s">
        <v>189</v>
      </c>
      <c r="H25" s="39" t="str">
        <f>CONCATENATE("10.",TEXT(128+BITWISE_AND(G18,G68)/4,0),".",TEXT(BITWISE_AND(G69,G18)*64+F25*8+BITWISE_AND(G71,G19)/4,0),".",TEXT(BITWISE_AND(G72,G19)*64+C24*10+E25,0))</f>
        <v>10.128.72.65</v>
      </c>
      <c r="I25" s="21"/>
      <c r="J25" s="191" t="s">
        <v>191</v>
      </c>
      <c r="K25" s="24" t="s">
        <v>188</v>
      </c>
      <c r="L25" s="24">
        <v>1</v>
      </c>
      <c r="M25" s="24">
        <v>7</v>
      </c>
      <c r="N25" s="1"/>
      <c r="O25" s="8" t="str">
        <f>CONCATENATE("10.",TEXT(128+BITWISE_AND(G18,G68)/4,0),".",TEXT(BITWISE_AND(G69,G18)*64+M25*8+BITWISE_AND(G71,G19)/4,0),".",TEXT(BITWISE_AND(G72,G19)*64+J24*10+L25,0))</f>
        <v>10.128.120.85</v>
      </c>
      <c r="P25" s="21"/>
      <c r="Q25" s="200" t="s">
        <v>192</v>
      </c>
      <c r="R25" s="40" t="s">
        <v>188</v>
      </c>
      <c r="S25" s="1">
        <v>1</v>
      </c>
      <c r="T25" s="1">
        <v>7</v>
      </c>
      <c r="U25" s="1" t="s">
        <v>193</v>
      </c>
      <c r="V25" s="9" t="str">
        <f>CONCATENATE("10.",TEXT(128+BITWISE_AND(G18,G68)/4,0),".",TEXT(BITWISE_AND(G69,G18)*64+T25*8+BITWISE_AND(G71,G19)/4,0),".",TEXT(BITWISE_AND(G72,G19)*64+Q24*10+S25,0))</f>
        <v>10.128.120.105</v>
      </c>
      <c r="W25" s="22"/>
      <c r="X25" s="35"/>
      <c r="Y25" s="19"/>
      <c r="Z25" s="191" t="s">
        <v>187</v>
      </c>
      <c r="AA25" s="24" t="s">
        <v>188</v>
      </c>
      <c r="AB25" s="24">
        <v>1</v>
      </c>
      <c r="AC25" s="24">
        <v>3</v>
      </c>
      <c r="AD25" s="32" t="s">
        <v>194</v>
      </c>
      <c r="AE25" s="8" t="str">
        <f>CONCATENATE("10.",TEXT(128+BITWISE_AND(AD18,G68)/4,0),".",TEXT(BITWISE_AND(G69,AD18)*64+AC25*8+BITWISE_AND(G71,AD19)/4,0),".",TEXT(BITWISE_AND(G72,AD19)*64+Z24*10+AB25,0))</f>
        <v>10.128.24.65</v>
      </c>
      <c r="AF25" s="19"/>
      <c r="AG25" s="200" t="s">
        <v>191</v>
      </c>
      <c r="AH25" s="40" t="s">
        <v>188</v>
      </c>
      <c r="AI25" s="1">
        <v>1</v>
      </c>
      <c r="AJ25" s="1">
        <v>6</v>
      </c>
      <c r="AK25" s="33" t="s">
        <v>195</v>
      </c>
      <c r="AL25" s="126" t="str">
        <f>CONCATENATE("10.",TEXT(128+BITWISE_AND(AD18,G68)/4,0),".",TEXT(BITWISE_AND(G69,AD18)*64+AJ25*8+BITWISE_AND(G71,AD19)/4,0),".",TEXT(BITWISE_AND(G72,AD19)*64+AG24*10+AI25,0))</f>
        <v>10.128.48.85</v>
      </c>
      <c r="AM25" s="22"/>
      <c r="AN25" s="35"/>
      <c r="AO25" s="19"/>
      <c r="AP25" s="191" t="s">
        <v>187</v>
      </c>
      <c r="AQ25" s="24" t="s">
        <v>188</v>
      </c>
      <c r="AR25" s="24">
        <v>1</v>
      </c>
      <c r="AS25" s="24">
        <v>3</v>
      </c>
      <c r="AT25" s="32" t="s">
        <v>194</v>
      </c>
      <c r="AU25" s="8" t="str">
        <f>CONCATENATE("10.",TEXT(128+BITWISE_AND(AT18,G68)/4,0),".",TEXT(BITWISE_AND(G69,AT18)*64+AS25*8+BITWISE_AND(G71,AT19)/4,0),".",TEXT(BITWISE_AND(G72,AT19)*64+AP24*10+AR25,0))</f>
        <v>10.128.152.129</v>
      </c>
      <c r="AV25" s="22"/>
      <c r="AX25" s="19"/>
      <c r="AY25" s="191" t="s">
        <v>187</v>
      </c>
      <c r="AZ25" s="24" t="s">
        <v>188</v>
      </c>
      <c r="BA25" s="24">
        <v>1</v>
      </c>
      <c r="BB25" s="24">
        <v>3</v>
      </c>
      <c r="BC25" s="32" t="s">
        <v>194</v>
      </c>
      <c r="BD25" s="8" t="str">
        <f>CONCATENATE("10.",TEXT(128+BITWISE_AND(BC18,G68)/4,0),".",TEXT(BITWISE_AND(G69,BC18)*64+BB25*8+BITWISE_AND(G71,BC19)/4,0),".",TEXT(BITWISE_AND(G72,BC19)*64+AY24*10+BA25,0))</f>
        <v>10.128.154.65</v>
      </c>
      <c r="BE25" s="22"/>
      <c r="BG25" s="19"/>
      <c r="BH25" s="191" t="s">
        <v>187</v>
      </c>
      <c r="BI25" s="24" t="s">
        <v>188</v>
      </c>
      <c r="BJ25" s="24">
        <v>1</v>
      </c>
      <c r="BK25" s="24">
        <v>7</v>
      </c>
      <c r="BL25" s="31"/>
      <c r="BM25" s="8" t="str">
        <f>CONCATENATE("10.",TEXT(128+BITWISE_AND(BL18,G68)/4,0),".",TEXT(BITWISE_AND(G69,BL18)*64+BK25*8+BITWISE_AND(G71,BL19)/4,0),".",TEXT(BITWISE_AND(G72,BL19)*64+BH24*10+BJ25,0))</f>
        <v>10.128.186.193</v>
      </c>
      <c r="BN25" s="22"/>
      <c r="BP25" s="19"/>
      <c r="BQ25" s="191" t="s">
        <v>187</v>
      </c>
      <c r="BR25" s="24" t="s">
        <v>188</v>
      </c>
      <c r="BS25" s="24">
        <v>1</v>
      </c>
      <c r="BT25" s="24">
        <v>3</v>
      </c>
      <c r="BU25" s="32" t="s">
        <v>194</v>
      </c>
      <c r="BV25" s="8" t="str">
        <f>CONCATENATE("10.",TEXT(128+BITWISE_AND(BU18,G68)/4,0),".",TEXT(BITWISE_AND(G69,BU18)*64+BT25*8+BITWISE_AND(G71,BU19)/4,0),".",TEXT(BITWISE_AND(G72,BU19)*64+BQ24*10+BS25,0))</f>
        <v>10.128.155.1</v>
      </c>
      <c r="BW25" s="22"/>
      <c r="BX25" s="35"/>
      <c r="BY25" s="19"/>
      <c r="BZ25" s="191" t="s">
        <v>187</v>
      </c>
      <c r="CA25" s="24" t="s">
        <v>188</v>
      </c>
      <c r="CB25" s="24">
        <v>1</v>
      </c>
      <c r="CC25" s="24">
        <v>3</v>
      </c>
      <c r="CD25" s="32" t="s">
        <v>194</v>
      </c>
      <c r="CE25" s="8" t="str">
        <f>CONCATENATE("10.",TEXT(128+BITWISE_AND(CD18,G68)/4,0),".",TEXT(BITWISE_AND(G69,CD18)*64+CC25*8+BITWISE_AND(G71,CD19)/4,0),".",TEXT(BITWISE_AND(G72,CD19)*64+BZ24*10+CB25,0))</f>
        <v>10.128.155.65</v>
      </c>
      <c r="CF25" s="19"/>
      <c r="CG25" s="192" t="s">
        <v>197</v>
      </c>
      <c r="CH25" s="24" t="s">
        <v>188</v>
      </c>
      <c r="CI25" s="24">
        <v>1</v>
      </c>
      <c r="CJ25" s="24">
        <v>1</v>
      </c>
      <c r="CK25" s="32" t="s">
        <v>198</v>
      </c>
      <c r="CL25" s="8" t="str">
        <f>CONCATENATE("10.",TEXT(128+BITWISE_AND(CD18,G68)/4,0),".",TEXT(BITWISE_AND(G69,CD18)*64+CJ25*8+BITWISE_AND(G71,CD19)/4,0),".",TEXT(BITWISE_AND(G72,CD19)*64+CG24*10+CI25,0))</f>
        <v>10.128.139.85</v>
      </c>
      <c r="CM25" s="22"/>
      <c r="CN25" s="35"/>
      <c r="CO25" s="19"/>
      <c r="CP25" s="191" t="s">
        <v>187</v>
      </c>
      <c r="CQ25" s="24" t="s">
        <v>188</v>
      </c>
      <c r="CR25" s="24">
        <v>1</v>
      </c>
      <c r="CS25" s="24">
        <v>3</v>
      </c>
      <c r="CT25" s="32" t="s">
        <v>194</v>
      </c>
      <c r="CU25" s="8" t="str">
        <f>CONCATENATE("10.",TEXT(128+BITWISE_AND(CT18,G68)/4,0),".",TEXT(BITWISE_AND(G69,CT18)*64+CS25*8+BITWISE_AND(G71,CT19)/4,0),".",TEXT(BITWISE_AND(G72,CT19)*64+CP24*10+CR25,0))</f>
        <v>10.128.155.129</v>
      </c>
      <c r="CV25" s="22"/>
      <c r="CX25" s="19"/>
      <c r="CY25" s="191" t="s">
        <v>187</v>
      </c>
      <c r="CZ25" s="24" t="s">
        <v>188</v>
      </c>
      <c r="DA25" s="24">
        <v>1</v>
      </c>
      <c r="DB25" s="24">
        <v>3</v>
      </c>
      <c r="DC25" s="32" t="s">
        <v>194</v>
      </c>
      <c r="DD25" s="8" t="str">
        <f>CONCATENATE("10.",TEXT(128+BITWISE_AND(DC18,G68)/4,0),".",TEXT(BITWISE_AND(G69,DC18)*64+DB25*8+BITWISE_AND(G71,DC19)/4,0),".",TEXT(BITWISE_AND(G72,DC19)*64+CY24*10+DA25,0))</f>
        <v>10.128.156.1</v>
      </c>
      <c r="DE25" s="22"/>
      <c r="DG25" s="19"/>
      <c r="DH25" s="191" t="s">
        <v>187</v>
      </c>
      <c r="DI25" s="24" t="s">
        <v>188</v>
      </c>
      <c r="DJ25" s="24">
        <v>1</v>
      </c>
      <c r="DK25" s="24">
        <v>1</v>
      </c>
      <c r="DL25" s="34" t="s">
        <v>199</v>
      </c>
      <c r="DM25" s="8" t="str">
        <f>CONCATENATE("10.",TEXT(128+BITWISE_AND(DL18,G68)/4,0),".",TEXT(BITWISE_AND(G69,DL18)*64+DK25*8+BITWISE_AND(G71,DL19)/4,0),".",TEXT(BITWISE_AND(G72,DL19)*64+DH24*10+DJ25,0))</f>
        <v>10.128.140.65</v>
      </c>
      <c r="DN25" s="21"/>
      <c r="DO25" s="191" t="s">
        <v>191</v>
      </c>
      <c r="DP25" s="40" t="s">
        <v>188</v>
      </c>
      <c r="DQ25" s="1">
        <v>1</v>
      </c>
      <c r="DR25" s="1">
        <v>1</v>
      </c>
      <c r="DS25" s="32" t="s">
        <v>200</v>
      </c>
      <c r="DT25" s="9" t="str">
        <f>CONCATENATE("10.",TEXT(128+BITWISE_AND(DL18,G68)/4,0),".",TEXT(BITWISE_AND(G69,DL18)*64+DR25*8+BITWISE_AND(G71,DL19)/4,0),".",TEXT(BITWISE_AND(G72,DL19)*64+DO24*10+DQ25,0))</f>
        <v>10.128.140.85</v>
      </c>
      <c r="DU25" s="22"/>
    </row>
    <row r="26" spans="2:125">
      <c r="B26" s="19"/>
      <c r="C26" s="192"/>
      <c r="D26" s="40" t="s">
        <v>201</v>
      </c>
      <c r="E26" s="24">
        <v>2</v>
      </c>
      <c r="F26" s="24">
        <v>0</v>
      </c>
      <c r="G26" s="33" t="s">
        <v>202</v>
      </c>
      <c r="H26" s="8" t="str">
        <f>CONCATENATE("10.",TEXT(128+BITWISE_AND(G18,G68)/4,0),".",TEXT(BITWISE_AND(G69,G18)*64+F26*8+BITWISE_AND(G71,G19)/4,0),".",TEXT(BITWISE_AND(G72,G19)*64+C24*10+E26,0))</f>
        <v>10.128.64.66</v>
      </c>
      <c r="I26" s="21"/>
      <c r="J26" s="192"/>
      <c r="K26" s="24" t="s">
        <v>201</v>
      </c>
      <c r="L26" s="24">
        <v>2</v>
      </c>
      <c r="M26" s="24">
        <v>1</v>
      </c>
      <c r="N26" s="1" t="s">
        <v>204</v>
      </c>
      <c r="O26" s="8" t="str">
        <f>CONCATENATE("10.",TEXT(128+BITWISE_AND(G18,G68)/4,0),".",TEXT(BITWISE_AND(G69,G18)*64+M26*8+BITWISE_AND(G71,G19)/4,0),".",TEXT(BITWISE_AND(G72,G19)*64+J24*10+L26,0))</f>
        <v>10.128.72.86</v>
      </c>
      <c r="P26" s="21"/>
      <c r="Q26" s="200"/>
      <c r="R26" s="40" t="s">
        <v>201</v>
      </c>
      <c r="S26" s="1">
        <v>2</v>
      </c>
      <c r="T26" s="1">
        <v>7</v>
      </c>
      <c r="U26" s="31" t="s">
        <v>205</v>
      </c>
      <c r="V26" s="9" t="str">
        <f>CONCATENATE("10.",TEXT(128+BITWISE_AND(G18,G68)/4,0),".",TEXT(BITWISE_AND(G69,G18)*64+T26*8+BITWISE_AND(G71,G19)/4,0),".",TEXT(BITWISE_AND(G72,G19)*64+Q24*10+S26,0))</f>
        <v>10.128.120.106</v>
      </c>
      <c r="W26" s="22"/>
      <c r="X26" s="35"/>
      <c r="Y26" s="19"/>
      <c r="Z26" s="192"/>
      <c r="AA26" s="24" t="s">
        <v>201</v>
      </c>
      <c r="AB26" s="24">
        <v>2</v>
      </c>
      <c r="AC26" s="24">
        <v>3</v>
      </c>
      <c r="AD26" s="32" t="s">
        <v>206</v>
      </c>
      <c r="AE26" s="8" t="str">
        <f>CONCATENATE("10.",TEXT(128+BITWISE_AND(AD18,G68)/4,0),".",TEXT(BITWISE_AND(G69,AD18)*64+AC26*8+BITWISE_AND(G71,AD19)/4,0),".",TEXT(BITWISE_AND(G72,AD19)*64+Z24*10+AB26,0))</f>
        <v>10.128.24.66</v>
      </c>
      <c r="AF26" s="19"/>
      <c r="AG26" s="200"/>
      <c r="AH26" s="40" t="s">
        <v>201</v>
      </c>
      <c r="AI26" s="1">
        <v>2</v>
      </c>
      <c r="AJ26" s="1">
        <v>7</v>
      </c>
      <c r="AK26" s="32" t="s">
        <v>207</v>
      </c>
      <c r="AL26" s="9" t="str">
        <f>CONCATENATE("10.",TEXT(128+BITWISE_AND(AD18,G68)/4,0),".",TEXT(BITWISE_AND(G69,AD18)*64+AJ26*8+BITWISE_AND(G71,AD19)/4,0),".",TEXT(BITWISE_AND(G72,AD19)*64+AG24*10+AI26,0))</f>
        <v>10.128.56.86</v>
      </c>
      <c r="AM26" s="22"/>
      <c r="AN26" s="35"/>
      <c r="AO26" s="19"/>
      <c r="AP26" s="192"/>
      <c r="AQ26" s="24" t="s">
        <v>201</v>
      </c>
      <c r="AR26" s="24">
        <v>2</v>
      </c>
      <c r="AS26" s="24">
        <v>3</v>
      </c>
      <c r="AT26" s="32" t="s">
        <v>206</v>
      </c>
      <c r="AU26" s="8" t="str">
        <f>CONCATENATE("10.",TEXT(128+BITWISE_AND(AT18,G68)/4,0),".",TEXT(BITWISE_AND(G69,AT18)*64+AS26*8+BITWISE_AND(G71,AT19)/4,0),".",TEXT(BITWISE_AND(G72,AT19)*64+AP24*10+AR26,0))</f>
        <v>10.128.152.130</v>
      </c>
      <c r="AV26" s="22"/>
      <c r="AX26" s="19"/>
      <c r="AY26" s="192"/>
      <c r="AZ26" s="24" t="s">
        <v>201</v>
      </c>
      <c r="BA26" s="24">
        <v>2</v>
      </c>
      <c r="BB26" s="24">
        <v>3</v>
      </c>
      <c r="BC26" s="32" t="s">
        <v>206</v>
      </c>
      <c r="BD26" s="8" t="str">
        <f>CONCATENATE("10.",TEXT(128+BITWISE_AND(BC18,G68)/4,0),".",TEXT(BITWISE_AND(G69,BC18)*64+BB26*8+BITWISE_AND(G71,BC19)/4,0),".",TEXT(BITWISE_AND(G72,BC19)*64+AY24*10+BA26,0))</f>
        <v>10.128.154.66</v>
      </c>
      <c r="BE26" s="22"/>
      <c r="BG26" s="19"/>
      <c r="BH26" s="192"/>
      <c r="BI26" s="24" t="s">
        <v>201</v>
      </c>
      <c r="BJ26" s="24">
        <v>2</v>
      </c>
      <c r="BK26" s="24">
        <v>3</v>
      </c>
      <c r="BL26" s="32" t="s">
        <v>206</v>
      </c>
      <c r="BM26" s="8" t="str">
        <f>CONCATENATE("10.",TEXT(128+BITWISE_AND(BL18,G68)/4,0),".",TEXT(BITWISE_AND(G69,BL18)*64+BK26*8+BITWISE_AND(G71,BL19)/4,0),".",TEXT(BITWISE_AND(G72,BL19)*64+BH24*10+BJ26,0))</f>
        <v>10.128.154.194</v>
      </c>
      <c r="BN26" s="22"/>
      <c r="BP26" s="19"/>
      <c r="BQ26" s="192"/>
      <c r="BR26" s="24" t="s">
        <v>201</v>
      </c>
      <c r="BS26" s="24">
        <v>2</v>
      </c>
      <c r="BT26" s="24">
        <v>3</v>
      </c>
      <c r="BU26" s="32" t="s">
        <v>206</v>
      </c>
      <c r="BV26" s="8" t="str">
        <f>CONCATENATE("10.",TEXT(128+BITWISE_AND(BU18,G68)/4,0),".",TEXT(BITWISE_AND(G69,BU18)*64+BT26*8+BITWISE_AND(G71,BU19)/4,0),".",TEXT(BITWISE_AND(G72,BU19)*64+BQ24*10+BS26,0))</f>
        <v>10.128.155.2</v>
      </c>
      <c r="BW26" s="22"/>
      <c r="BX26" s="35"/>
      <c r="BY26" s="19"/>
      <c r="BZ26" s="192"/>
      <c r="CA26" s="24" t="s">
        <v>201</v>
      </c>
      <c r="CB26" s="24">
        <v>2</v>
      </c>
      <c r="CC26" s="24">
        <v>3</v>
      </c>
      <c r="CD26" s="32" t="s">
        <v>206</v>
      </c>
      <c r="CE26" s="8" t="str">
        <f>CONCATENATE("10.",TEXT(128+BITWISE_AND(CD18,G68)/4,0),".",TEXT(BITWISE_AND(G69,CD18)*64+CC26*8+BITWISE_AND(G71,CD19)/4,0),".",TEXT(BITWISE_AND(G72,CD19)*64+BZ24*10+CB26,0))</f>
        <v>10.128.155.66</v>
      </c>
      <c r="CF26" s="19"/>
      <c r="CG26" s="192"/>
      <c r="CH26" s="24" t="s">
        <v>201</v>
      </c>
      <c r="CI26" s="24">
        <v>2</v>
      </c>
      <c r="CJ26" s="24">
        <v>5</v>
      </c>
      <c r="CK26" s="32" t="s">
        <v>208</v>
      </c>
      <c r="CL26" s="8" t="str">
        <f>CONCATENATE("10.",TEXT(128+BITWISE_AND(CD18,G68)/4,0),".",TEXT(BITWISE_AND(G69,CD18)*64+CJ26*8+BITWISE_AND(G71,CD19)/4,0),".",TEXT(BITWISE_AND(G72,CD19)*64+CG24*10+CI26,0))</f>
        <v>10.128.171.86</v>
      </c>
      <c r="CM26" s="22"/>
      <c r="CN26" s="35"/>
      <c r="CO26" s="19"/>
      <c r="CP26" s="192"/>
      <c r="CQ26" s="24" t="s">
        <v>201</v>
      </c>
      <c r="CR26" s="24">
        <v>2</v>
      </c>
      <c r="CS26" s="24">
        <v>3</v>
      </c>
      <c r="CT26" s="32" t="s">
        <v>206</v>
      </c>
      <c r="CU26" s="8" t="str">
        <f>CONCATENATE("10.",TEXT(128+BITWISE_AND(CT18,G68)/4,0),".",TEXT(BITWISE_AND(G69,CT18)*64+CS26*8+BITWISE_AND(G71,CT19)/4,0),".",TEXT(BITWISE_AND(G72,CT19)*64+CP24*10+CR26,0))</f>
        <v>10.128.155.130</v>
      </c>
      <c r="CV26" s="22"/>
      <c r="CX26" s="19"/>
      <c r="CY26" s="192"/>
      <c r="CZ26" s="24" t="s">
        <v>201</v>
      </c>
      <c r="DA26" s="24">
        <v>2</v>
      </c>
      <c r="DB26" s="24">
        <v>3</v>
      </c>
      <c r="DC26" s="32" t="s">
        <v>206</v>
      </c>
      <c r="DD26" s="8" t="str">
        <f>CONCATENATE("10.",TEXT(128+BITWISE_AND(DC18,G68)/4,0),".",TEXT(BITWISE_AND(G69,DC18)*64+DB26*8+BITWISE_AND(G71,DC19)/4,0),".",TEXT(BITWISE_AND(G72,DC19)*64+CY24*10+DA26,0))</f>
        <v>10.128.156.2</v>
      </c>
      <c r="DE26" s="22"/>
      <c r="DG26" s="19"/>
      <c r="DH26" s="192"/>
      <c r="DI26" s="24" t="s">
        <v>201</v>
      </c>
      <c r="DJ26" s="24">
        <v>2</v>
      </c>
      <c r="DK26" s="24">
        <v>3</v>
      </c>
      <c r="DL26" s="32" t="s">
        <v>209</v>
      </c>
      <c r="DM26" s="8" t="str">
        <f>CONCATENATE("10.",TEXT(128+BITWISE_AND(DL18,G68)/4,0),".",TEXT(BITWISE_AND(G69,DL18)*64+DK26*8+BITWISE_AND(G71,DL19)/4,0),".",TEXT(BITWISE_AND(G72,DL19)*64+DH24*10+DJ26,0))</f>
        <v>10.128.156.66</v>
      </c>
      <c r="DN26" s="21"/>
      <c r="DO26" s="192"/>
      <c r="DP26" s="40" t="s">
        <v>201</v>
      </c>
      <c r="DQ26" s="1">
        <v>2</v>
      </c>
      <c r="DR26" s="1">
        <v>2</v>
      </c>
      <c r="DS26" s="32" t="s">
        <v>183</v>
      </c>
      <c r="DT26" s="136" t="str">
        <f>DT44</f>
        <v>10.128.148.96</v>
      </c>
      <c r="DU26" s="22"/>
    </row>
    <row r="27" spans="2:125">
      <c r="B27" s="19"/>
      <c r="C27" s="192"/>
      <c r="D27" s="40" t="s">
        <v>210</v>
      </c>
      <c r="E27" s="24">
        <v>3</v>
      </c>
      <c r="F27" s="24">
        <v>2</v>
      </c>
      <c r="G27" s="33" t="s">
        <v>185</v>
      </c>
      <c r="H27" s="8" t="str">
        <f>CONCATENATE("10.",TEXT(128+BITWISE_AND(G18,G68)/4,0),".",TEXT(BITWISE_AND(G69,G18)*64+F27*8+BITWISE_AND(G71,G19)/4,0),".",TEXT(BITWISE_AND(G72,G19)*64+C24*10+E27,0))</f>
        <v>10.128.80.67</v>
      </c>
      <c r="I27" s="21"/>
      <c r="J27" s="192"/>
      <c r="K27" s="24" t="s">
        <v>210</v>
      </c>
      <c r="L27" s="24">
        <v>3</v>
      </c>
      <c r="M27" s="24">
        <v>1</v>
      </c>
      <c r="N27" s="1" t="s">
        <v>211</v>
      </c>
      <c r="O27" s="8" t="str">
        <f>CONCATENATE("10.",TEXT(128+BITWISE_AND(G18,G68)/4,0),".",TEXT(BITWISE_AND(G69,G18)*64+M27*8+BITWISE_AND(G71,G19)/4,0),".",TEXT(BITWISE_AND(G72,G19)*64+J24*10+L27,0))</f>
        <v>10.128.72.87</v>
      </c>
      <c r="P27" s="21"/>
      <c r="Q27" s="200"/>
      <c r="R27" s="40" t="s">
        <v>210</v>
      </c>
      <c r="S27" s="1">
        <v>3</v>
      </c>
      <c r="T27" s="1">
        <v>7</v>
      </c>
      <c r="U27" s="33"/>
      <c r="V27" s="9"/>
      <c r="W27" s="22"/>
      <c r="X27" s="35"/>
      <c r="Y27" s="19"/>
      <c r="Z27" s="192"/>
      <c r="AA27" s="24" t="s">
        <v>210</v>
      </c>
      <c r="AB27" s="24">
        <v>3</v>
      </c>
      <c r="AC27" s="24">
        <v>5</v>
      </c>
      <c r="AD27" s="32" t="s">
        <v>212</v>
      </c>
      <c r="AE27" s="8" t="str">
        <f>CONCATENATE("10.",TEXT(128+BITWISE_AND(AD18,G68)/4,0),".",TEXT(BITWISE_AND(G69,AD18)*64+AC27*8+BITWISE_AND(G71,AD19)/4,0),".",TEXT(BITWISE_AND(G72,AD19)*64+Z24*10+AB27,0))</f>
        <v>10.128.40.67</v>
      </c>
      <c r="AF27" s="19"/>
      <c r="AG27" s="200"/>
      <c r="AH27" s="40" t="s">
        <v>210</v>
      </c>
      <c r="AI27" s="1">
        <v>3</v>
      </c>
      <c r="AJ27" s="1">
        <v>3</v>
      </c>
      <c r="AK27" s="33" t="s">
        <v>213</v>
      </c>
      <c r="AL27" s="9" t="str">
        <f>CONCATENATE("10.",TEXT(128+BITWISE_AND(AD18,G68)/4,0),".",TEXT(BITWISE_AND(G69,AD18)*64+AJ27*8+BITWISE_AND(G71,AD19)/4,0),".",TEXT(BITWISE_AND(G72,AD19)*64+AG24*10+AI27,0))</f>
        <v>10.128.24.87</v>
      </c>
      <c r="AM27" s="22"/>
      <c r="AN27" s="35"/>
      <c r="AO27" s="19"/>
      <c r="AP27" s="192"/>
      <c r="AQ27" s="24" t="s">
        <v>210</v>
      </c>
      <c r="AR27" s="24">
        <v>3</v>
      </c>
      <c r="AS27" s="24">
        <v>5</v>
      </c>
      <c r="AT27" s="32" t="s">
        <v>212</v>
      </c>
      <c r="AU27" s="8" t="str">
        <f>CONCATENATE("10.",TEXT(128+BITWISE_AND(AT18,G68)/4,0),".",TEXT(BITWISE_AND(G69,AT18)*64+AS27*8+BITWISE_AND(G71,AT19)/4,0),".",TEXT(BITWISE_AND(G72,AT19)*64+AP24*10+AR27,0))</f>
        <v>10.128.168.131</v>
      </c>
      <c r="AV27" s="22"/>
      <c r="AX27" s="19"/>
      <c r="AY27" s="192"/>
      <c r="AZ27" s="24" t="s">
        <v>210</v>
      </c>
      <c r="BA27" s="24">
        <v>3</v>
      </c>
      <c r="BB27" s="24">
        <v>5</v>
      </c>
      <c r="BC27" s="32" t="s">
        <v>212</v>
      </c>
      <c r="BD27" s="8" t="str">
        <f>CONCATENATE("10.",TEXT(128+BITWISE_AND(BC18,G68)/4,0),".",TEXT(BITWISE_AND(G69,BC18)*64+BB27*8+BITWISE_AND(G71,BC19)/4,0),".",TEXT(BITWISE_AND(G72,BC19)*64+AY24*10+BA27,0))</f>
        <v>10.128.170.67</v>
      </c>
      <c r="BE27" s="22"/>
      <c r="BG27" s="19"/>
      <c r="BH27" s="192"/>
      <c r="BI27" s="24" t="s">
        <v>210</v>
      </c>
      <c r="BJ27" s="24">
        <v>3</v>
      </c>
      <c r="BK27" s="24">
        <v>5</v>
      </c>
      <c r="BL27" s="32" t="s">
        <v>212</v>
      </c>
      <c r="BM27" s="8" t="str">
        <f>CONCATENATE("10.",TEXT(128+BITWISE_AND(BL18,G68)/4,0),".",TEXT(BITWISE_AND(G69,BL18)*64+BK27*8+BITWISE_AND(G71,BL19)/4,0),".",TEXT(BITWISE_AND(G72,BL19)*64+BH24*10+BJ27,0))</f>
        <v>10.128.170.195</v>
      </c>
      <c r="BN27" s="22"/>
      <c r="BP27" s="19"/>
      <c r="BQ27" s="192"/>
      <c r="BR27" s="24" t="s">
        <v>210</v>
      </c>
      <c r="BS27" s="24">
        <v>3</v>
      </c>
      <c r="BT27" s="24">
        <v>5</v>
      </c>
      <c r="BU27" s="32" t="s">
        <v>212</v>
      </c>
      <c r="BV27" s="8" t="str">
        <f>CONCATENATE("10.",TEXT(128+BITWISE_AND(BU18,G68)/4,0),".",TEXT(BITWISE_AND(G69,BU18)*64+BT27*8+BITWISE_AND(G71,BU19)/4,0),".",TEXT(BITWISE_AND(G72,BU19)*64+BQ24*10+BS27,0))</f>
        <v>10.128.171.3</v>
      </c>
      <c r="BW27" s="22"/>
      <c r="BX27" s="35"/>
      <c r="BY27" s="19"/>
      <c r="BZ27" s="192"/>
      <c r="CA27" s="24" t="s">
        <v>210</v>
      </c>
      <c r="CB27" s="24">
        <v>3</v>
      </c>
      <c r="CC27" s="24">
        <v>5</v>
      </c>
      <c r="CD27" s="32" t="s">
        <v>212</v>
      </c>
      <c r="CE27" s="8" t="str">
        <f>CONCATENATE("10.",TEXT(128+BITWISE_AND(CD18,G68)/4,0),".",TEXT(BITWISE_AND(G69,CD18)*64+CC27*8+BITWISE_AND(G71,CD19)/4,0),".",TEXT(BITWISE_AND(G72,CD19)*64+BZ24*10+CB27,0))</f>
        <v>10.128.171.67</v>
      </c>
      <c r="CF27" s="19"/>
      <c r="CG27" s="192"/>
      <c r="CH27" s="24" t="s">
        <v>210</v>
      </c>
      <c r="CI27" s="24">
        <v>3</v>
      </c>
      <c r="CJ27" s="24">
        <v>5</v>
      </c>
      <c r="CK27" s="32" t="s">
        <v>214</v>
      </c>
      <c r="CL27" s="8" t="str">
        <f>CONCATENATE("10.",TEXT(128+BITWISE_AND(CD18,G68)/4,0),".",TEXT(BITWISE_AND(G69,CD18)*64+CJ27*8+BITWISE_AND(G71,CD19)/4,0),".",TEXT(BITWISE_AND(G72,CD19)*64+CG24*10+CI27,0))</f>
        <v>10.128.171.87</v>
      </c>
      <c r="CM27" s="22"/>
      <c r="CN27" s="35"/>
      <c r="CO27" s="19"/>
      <c r="CP27" s="192"/>
      <c r="CQ27" s="24" t="s">
        <v>210</v>
      </c>
      <c r="CR27" s="24">
        <v>3</v>
      </c>
      <c r="CS27" s="24">
        <v>5</v>
      </c>
      <c r="CT27" s="32" t="s">
        <v>212</v>
      </c>
      <c r="CU27" s="8" t="str">
        <f>CONCATENATE("10.",TEXT(128+BITWISE_AND(CT18,G68)/4,0),".",TEXT(BITWISE_AND(G69,CT18)*64+CS27*8+BITWISE_AND(G71,CT19)/4,0),".",TEXT(BITWISE_AND(G72,CT19)*64+CP24*10+CR27,0))</f>
        <v>10.128.171.131</v>
      </c>
      <c r="CV27" s="22"/>
      <c r="CX27" s="19"/>
      <c r="CY27" s="192"/>
      <c r="CZ27" s="24" t="s">
        <v>210</v>
      </c>
      <c r="DA27" s="24">
        <v>3</v>
      </c>
      <c r="DB27" s="24">
        <v>5</v>
      </c>
      <c r="DC27" s="32" t="s">
        <v>212</v>
      </c>
      <c r="DD27" s="8" t="str">
        <f>CONCATENATE("10.",TEXT(128+BITWISE_AND(DC18,G68)/4,0),".",TEXT(BITWISE_AND(G69,DC18)*64+DB27*8+BITWISE_AND(G71,DC19)/4,0),".",TEXT(BITWISE_AND(G72,DC19)*64+CY24*10+DA27,0))</f>
        <v>10.128.172.3</v>
      </c>
      <c r="DE27" s="22"/>
      <c r="DG27" s="19"/>
      <c r="DH27" s="192"/>
      <c r="DI27" s="24" t="s">
        <v>210</v>
      </c>
      <c r="DJ27" s="24">
        <v>3</v>
      </c>
      <c r="DK27" s="24">
        <v>5</v>
      </c>
      <c r="DL27" s="32" t="s">
        <v>212</v>
      </c>
      <c r="DM27" s="8" t="str">
        <f>CONCATENATE("10.",TEXT(128+BITWISE_AND(DL18,G68)/4,0),".",TEXT(BITWISE_AND(G69,DL18)*64+DK27*8+BITWISE_AND(G71,DL19)/4,0),".",TEXT(BITWISE_AND(G72,DL19)*64+DH24*10+DJ27,0))</f>
        <v>10.128.172.67</v>
      </c>
      <c r="DN27" s="21"/>
      <c r="DO27" s="192"/>
      <c r="DP27" s="40" t="s">
        <v>210</v>
      </c>
      <c r="DQ27" s="1">
        <v>3</v>
      </c>
      <c r="DR27" s="1">
        <v>7</v>
      </c>
      <c r="DS27" s="32"/>
      <c r="DT27" s="9" t="str">
        <f>CONCATENATE("10.",TEXT(128+BITWISE_AND(DL18,G68)/4,0),".",TEXT(BITWISE_AND(G69,DL18)*64+DR27*8+BITWISE_AND(G71,DL19)/4,0),".",TEXT(BITWISE_AND(G72,DL19)*64+DO24*10+DQ27,0))</f>
        <v>10.128.188.87</v>
      </c>
      <c r="DU27" s="22"/>
    </row>
    <row r="28" spans="2:125">
      <c r="B28" s="19"/>
      <c r="C28" s="192"/>
      <c r="D28" s="40" t="s">
        <v>215</v>
      </c>
      <c r="E28" s="24">
        <v>4</v>
      </c>
      <c r="F28" s="24">
        <v>2</v>
      </c>
      <c r="G28" s="33" t="s">
        <v>186</v>
      </c>
      <c r="H28" s="8" t="str">
        <f>CONCATENATE("10.",TEXT(128+BITWISE_AND(G18,G68)/4,0),".",TEXT(BITWISE_AND(G69,G18)*64+F28*8+BITWISE_AND(G71,G19)/4,0),".",TEXT(BITWISE_AND(G72,G19)*64+C24*10+E28,0))</f>
        <v>10.128.80.68</v>
      </c>
      <c r="I28" s="21"/>
      <c r="J28" s="192"/>
      <c r="K28" s="24" t="s">
        <v>215</v>
      </c>
      <c r="L28" s="24">
        <v>4</v>
      </c>
      <c r="M28" s="24">
        <v>1</v>
      </c>
      <c r="N28" s="1" t="s">
        <v>216</v>
      </c>
      <c r="O28" s="8" t="str">
        <f>CONCATENATE("10.",TEXT(128+BITWISE_AND(G18,G68)/4,0),".",TEXT(BITWISE_AND(G69,G18)*64+M28*8+BITWISE_AND(G71,G19)/4,0),".",TEXT(BITWISE_AND(G72,G19)*64+J24*10+L28,0))</f>
        <v>10.128.72.88</v>
      </c>
      <c r="P28" s="21"/>
      <c r="Q28" s="200"/>
      <c r="R28" s="40" t="s">
        <v>215</v>
      </c>
      <c r="S28" s="1">
        <v>4</v>
      </c>
      <c r="T28" s="1">
        <v>3</v>
      </c>
      <c r="U28" s="33" t="s">
        <v>217</v>
      </c>
      <c r="V28" s="9" t="str">
        <f>CONCATENATE("10.",TEXT(128+BITWISE_AND(G18,G68)/4,0),".",TEXT(BITWISE_AND(G69,G18)*64+T28*8+BITWISE_AND(G71,G19)/4,0),".",TEXT(BITWISE_AND(G72,G19)*64+Q24*10+S28,0))</f>
        <v>10.128.88.108</v>
      </c>
      <c r="W28" s="22"/>
      <c r="X28" s="35"/>
      <c r="Y28" s="19"/>
      <c r="Z28" s="192"/>
      <c r="AA28" s="24" t="s">
        <v>215</v>
      </c>
      <c r="AB28" s="24">
        <v>4</v>
      </c>
      <c r="AC28" s="24">
        <v>5</v>
      </c>
      <c r="AD28" s="32" t="s">
        <v>218</v>
      </c>
      <c r="AE28" s="8" t="str">
        <f>CONCATENATE("10.",TEXT(128+BITWISE_AND(AD18,G68)/4,0),".",TEXT(BITWISE_AND(G69,AD18)*64+AC28*8+BITWISE_AND(G71,AD19)/4,0),".",TEXT(BITWISE_AND(G72,AD19)*64+Z24*10+AB28,0))</f>
        <v>10.128.40.68</v>
      </c>
      <c r="AF28" s="19"/>
      <c r="AG28" s="200"/>
      <c r="AH28" s="40" t="s">
        <v>215</v>
      </c>
      <c r="AI28" s="1">
        <v>4</v>
      </c>
      <c r="AJ28" s="1">
        <v>7</v>
      </c>
      <c r="AK28" s="33"/>
      <c r="AL28" s="9" t="str">
        <f>CONCATENATE("10.",TEXT(128+BITWISE_AND(AD18,G68)/4,0),".",TEXT(BITWISE_AND(G69,AD18)*64+AJ28*8+BITWISE_AND(G71,AD19)/4,0),".",TEXT(BITWISE_AND(G72,AD19)*64+AG24*10+AI28,0))</f>
        <v>10.128.56.88</v>
      </c>
      <c r="AM28" s="22"/>
      <c r="AN28" s="35"/>
      <c r="AO28" s="19"/>
      <c r="AP28" s="192"/>
      <c r="AQ28" s="24" t="s">
        <v>215</v>
      </c>
      <c r="AR28" s="24">
        <v>4</v>
      </c>
      <c r="AS28" s="24">
        <v>5</v>
      </c>
      <c r="AT28" s="32" t="s">
        <v>218</v>
      </c>
      <c r="AU28" s="8" t="str">
        <f>CONCATENATE("10.",TEXT(128+BITWISE_AND(AT18,G68)/4,0),".",TEXT(BITWISE_AND(G69,AT18)*64+AS28*8+BITWISE_AND(G71,AT19)/4,0),".",TEXT(BITWISE_AND(G72,AT19)*64+AP24*10+AR28,0))</f>
        <v>10.128.168.132</v>
      </c>
      <c r="AV28" s="22"/>
      <c r="AX28" s="19"/>
      <c r="AY28" s="192"/>
      <c r="AZ28" s="24" t="s">
        <v>215</v>
      </c>
      <c r="BA28" s="24">
        <v>4</v>
      </c>
      <c r="BB28" s="24">
        <v>5</v>
      </c>
      <c r="BC28" s="32" t="s">
        <v>218</v>
      </c>
      <c r="BD28" s="8" t="str">
        <f>CONCATENATE("10.",TEXT(128+BITWISE_AND(BC18,G68)/4,0),".",TEXT(BITWISE_AND(G69,BC18)*64+BB28*8+BITWISE_AND(G71,BC19)/4,0),".",TEXT(BITWISE_AND(G72,BC19)*64+AY24*10+BA28,0))</f>
        <v>10.128.170.68</v>
      </c>
      <c r="BE28" s="22"/>
      <c r="BG28" s="19"/>
      <c r="BH28" s="192"/>
      <c r="BI28" s="24" t="s">
        <v>215</v>
      </c>
      <c r="BJ28" s="24">
        <v>4</v>
      </c>
      <c r="BK28" s="24">
        <v>7</v>
      </c>
      <c r="BL28" s="32"/>
      <c r="BM28" s="8" t="str">
        <f>CONCATENATE("10.",TEXT(128+BITWISE_AND(BL18,G68)/4,0),".",TEXT(BITWISE_AND(G69,BL18)*64+BK28*8+BITWISE_AND(G71,BL19)/4,0),".",TEXT(BITWISE_AND(G72,BL19)*64+BH24*10+BJ28,0))</f>
        <v>10.128.186.196</v>
      </c>
      <c r="BN28" s="22"/>
      <c r="BP28" s="19"/>
      <c r="BQ28" s="192"/>
      <c r="BR28" s="24" t="s">
        <v>215</v>
      </c>
      <c r="BS28" s="24">
        <v>4</v>
      </c>
      <c r="BT28" s="24">
        <v>5</v>
      </c>
      <c r="BU28" s="32" t="s">
        <v>218</v>
      </c>
      <c r="BV28" s="8" t="str">
        <f>CONCATENATE("10.",TEXT(128+BITWISE_AND(BU18,G68)/4,0),".",TEXT(BITWISE_AND(G69,BU18)*64+BT28*8+BITWISE_AND(G71,BU19)/4,0),".",TEXT(BITWISE_AND(G72,BU19)*64+BQ24*10+BS28,0))</f>
        <v>10.128.171.4</v>
      </c>
      <c r="BW28" s="22"/>
      <c r="BX28" s="35"/>
      <c r="BY28" s="19"/>
      <c r="BZ28" s="192"/>
      <c r="CA28" s="24" t="s">
        <v>215</v>
      </c>
      <c r="CB28" s="24">
        <v>4</v>
      </c>
      <c r="CC28" s="24">
        <v>5</v>
      </c>
      <c r="CD28" s="32" t="s">
        <v>218</v>
      </c>
      <c r="CE28" s="8" t="str">
        <f>CONCATENATE("10.",TEXT(128+BITWISE_AND(CD18,G68)/4,0),".",TEXT(BITWISE_AND(G69,CD18)*64+CC28*8+BITWISE_AND(G71,CD19)/4,0),".",TEXT(BITWISE_AND(G72,CD19)*64+BZ24*10+CB28,0))</f>
        <v>10.128.171.68</v>
      </c>
      <c r="CF28" s="19"/>
      <c r="CG28" s="192"/>
      <c r="CH28" s="24" t="s">
        <v>215</v>
      </c>
      <c r="CI28" s="24">
        <v>4</v>
      </c>
      <c r="CJ28" s="24">
        <v>5</v>
      </c>
      <c r="CK28" s="32" t="s">
        <v>219</v>
      </c>
      <c r="CL28" s="8" t="str">
        <f>CONCATENATE("10.",TEXT(128+BITWISE_AND(CD18,G68)/4,0),".",TEXT(BITWISE_AND(G69,CD18)*64+CJ28*8+BITWISE_AND(G71,CD19)/4,0),".",TEXT(BITWISE_AND(G72,CD19)*64+CG24*10+CI28,0))</f>
        <v>10.128.171.88</v>
      </c>
      <c r="CM28" s="22"/>
      <c r="CN28" s="35"/>
      <c r="CO28" s="19"/>
      <c r="CP28" s="192"/>
      <c r="CQ28" s="24" t="s">
        <v>215</v>
      </c>
      <c r="CR28" s="24">
        <v>4</v>
      </c>
      <c r="CS28" s="24">
        <v>7</v>
      </c>
      <c r="CT28" s="78"/>
      <c r="CU28" s="8" t="str">
        <f>CONCATENATE("10.",TEXT(128+BITWISE_AND(CT18,G68)/4,0),".",TEXT(BITWISE_AND(G69,CT18)*64+CS28*8+BITWISE_AND(G71,CT19)/4,0),".",TEXT(BITWISE_AND(G72,CT19)*64+CP24*10+CR28,0))</f>
        <v>10.128.187.132</v>
      </c>
      <c r="CV28" s="22"/>
      <c r="CX28" s="19"/>
      <c r="CY28" s="192"/>
      <c r="CZ28" s="24" t="s">
        <v>215</v>
      </c>
      <c r="DA28" s="24">
        <v>4</v>
      </c>
      <c r="DB28" s="24">
        <v>5</v>
      </c>
      <c r="DC28" s="32" t="s">
        <v>218</v>
      </c>
      <c r="DD28" s="8" t="str">
        <f>CONCATENATE("10.",TEXT(128+BITWISE_AND(DC18,G68)/4,0),".",TEXT(BITWISE_AND(G69,DC18)*64+DB28*8+BITWISE_AND(G71,DC19)/4,0),".",TEXT(BITWISE_AND(G72,DC19)*64+CY24*10+DA28,0))</f>
        <v>10.128.172.4</v>
      </c>
      <c r="DE28" s="22"/>
      <c r="DG28" s="19"/>
      <c r="DH28" s="192"/>
      <c r="DI28" s="24" t="s">
        <v>215</v>
      </c>
      <c r="DJ28" s="24">
        <v>4</v>
      </c>
      <c r="DK28" s="24">
        <v>5</v>
      </c>
      <c r="DL28" s="32" t="s">
        <v>218</v>
      </c>
      <c r="DM28" s="8" t="str">
        <f>CONCATENATE("10.",TEXT(128+BITWISE_AND(DL18,G68)/4,0),".",TEXT(BITWISE_AND(G69,DL18)*64+DK28*8+BITWISE_AND(G71,DL19)/4,0),".",TEXT(BITWISE_AND(G72,DL19)*64+DH24*10+DJ28,0))</f>
        <v>10.128.172.68</v>
      </c>
      <c r="DN28" s="21"/>
      <c r="DO28" s="192"/>
      <c r="DP28" s="40" t="s">
        <v>215</v>
      </c>
      <c r="DQ28" s="1">
        <v>4</v>
      </c>
      <c r="DR28" s="1">
        <v>1</v>
      </c>
      <c r="DS28" s="32" t="s">
        <v>220</v>
      </c>
      <c r="DT28" s="9" t="str">
        <f>CONCATENATE("10.",TEXT(128+BITWISE_AND(DL18,G68)/4,0),".",TEXT(BITWISE_AND(G69,DL18)*64+DR28*8+BITWISE_AND(G71,DL19)/4,0),".",TEXT(BITWISE_AND(G72,DL19)*64+DO24*10+DQ28,0))</f>
        <v>10.128.140.88</v>
      </c>
      <c r="DU28" s="22"/>
    </row>
    <row r="29" spans="2:125">
      <c r="B29" s="19"/>
      <c r="C29" s="192"/>
      <c r="D29" s="40" t="s">
        <v>221</v>
      </c>
      <c r="E29" s="24">
        <v>5</v>
      </c>
      <c r="F29" s="24">
        <v>6</v>
      </c>
      <c r="G29" s="33" t="s">
        <v>195</v>
      </c>
      <c r="H29" s="161" t="str">
        <f>CONCATENATE("10.",TEXT(128+BITWISE_AND(G18,G68)/4,0),".",TEXT(BITWISE_AND(G69,G18)*64+F29*8+BITWISE_AND(G71,G19)/4,0),".",TEXT(BITWISE_AND(G72,G19)*64+C24*10+E29,0))</f>
        <v>10.128.112.69</v>
      </c>
      <c r="I29" s="21"/>
      <c r="J29" s="192"/>
      <c r="K29" s="24" t="s">
        <v>221</v>
      </c>
      <c r="L29" s="24">
        <v>5</v>
      </c>
      <c r="M29" s="24">
        <v>1</v>
      </c>
      <c r="N29" s="1" t="s">
        <v>222</v>
      </c>
      <c r="O29" s="8" t="str">
        <f>CONCATENATE("10.",TEXT(128+BITWISE_AND(G18,G68)/4,0),".",TEXT(BITWISE_AND(G69,G18)*64+M29*8+BITWISE_AND(G71,G19)/4,0),".",TEXT(BITWISE_AND(G72,G19)*64+J24*10+L29,0))</f>
        <v>10.128.72.89</v>
      </c>
      <c r="P29" s="21"/>
      <c r="Q29" s="200"/>
      <c r="R29" s="40" t="s">
        <v>221</v>
      </c>
      <c r="S29" s="1">
        <v>5</v>
      </c>
      <c r="T29" s="1">
        <v>3</v>
      </c>
      <c r="U29" s="33" t="s">
        <v>223</v>
      </c>
      <c r="V29" s="9" t="str">
        <f>CONCATENATE("10.",TEXT(128+BITWISE_AND(G18,G68)/4,0),".",TEXT(BITWISE_AND(G69,G18)*64+T29*8+BITWISE_AND(G71,G19)/4,0),".",TEXT(BITWISE_AND(G72,G19)*64+Q24*10+S29,0))</f>
        <v>10.128.88.109</v>
      </c>
      <c r="W29" s="22"/>
      <c r="X29" s="35"/>
      <c r="Y29" s="19"/>
      <c r="Z29" s="192"/>
      <c r="AA29" s="24" t="s">
        <v>221</v>
      </c>
      <c r="AB29" s="24">
        <v>5</v>
      </c>
      <c r="AC29" s="24">
        <v>5</v>
      </c>
      <c r="AD29" s="32" t="s">
        <v>224</v>
      </c>
      <c r="AE29" s="8" t="str">
        <f>CONCATENATE("10.",TEXT(128+BITWISE_AND(AD18,G68)/4,0),".",TEXT(BITWISE_AND(G69,AD18)*64+AC29*8+BITWISE_AND(G71,AD19)/4,0),".",TEXT(BITWISE_AND(G72,AD19)*64+Z24*10+AB29,0))</f>
        <v>10.128.40.69</v>
      </c>
      <c r="AF29" s="19"/>
      <c r="AG29" s="200"/>
      <c r="AH29" s="40" t="s">
        <v>221</v>
      </c>
      <c r="AI29" s="1">
        <v>5</v>
      </c>
      <c r="AJ29" s="1">
        <v>7</v>
      </c>
      <c r="AK29" s="33"/>
      <c r="AL29" s="9" t="str">
        <f>CONCATENATE("10.",TEXT(128+BITWISE_AND(AD18,G68)/4,0),".",TEXT(BITWISE_AND(G69,AD18)*64+AJ29*8+BITWISE_AND(G71,AD19)/4,0),".",TEXT(BITWISE_AND(G72,AD19)*64+AG24*10+AI29,0))</f>
        <v>10.128.56.89</v>
      </c>
      <c r="AM29" s="22"/>
      <c r="AN29" s="35"/>
      <c r="AO29" s="19"/>
      <c r="AP29" s="192"/>
      <c r="AQ29" s="24" t="s">
        <v>221</v>
      </c>
      <c r="AR29" s="24">
        <v>5</v>
      </c>
      <c r="AS29" s="24">
        <v>5</v>
      </c>
      <c r="AT29" s="32" t="s">
        <v>224</v>
      </c>
      <c r="AU29" s="8" t="str">
        <f>CONCATENATE("10.",TEXT(128+BITWISE_AND(AT18,G68)/4,0),".",TEXT(BITWISE_AND(G69,AT18)*64+AS29*8+BITWISE_AND(G71,AT19)/4,0),".",TEXT(BITWISE_AND(G72,AT19)*64+AP24*10+AR29,0))</f>
        <v>10.128.168.133</v>
      </c>
      <c r="AV29" s="22"/>
      <c r="AX29" s="19"/>
      <c r="AY29" s="192"/>
      <c r="AZ29" s="24" t="s">
        <v>221</v>
      </c>
      <c r="BA29" s="24">
        <v>5</v>
      </c>
      <c r="BB29" s="24">
        <v>5</v>
      </c>
      <c r="BC29" s="32" t="s">
        <v>224</v>
      </c>
      <c r="BD29" s="8" t="str">
        <f>CONCATENATE("10.",TEXT(128+BITWISE_AND(BC18,G68)/4,0),".",TEXT(BITWISE_AND(G69,BC18)*64+BB29*8+BITWISE_AND(G71,BC19)/4,0),".",TEXT(BITWISE_AND(G72,BC19)*64+AY24*10+BA29,0))</f>
        <v>10.128.170.69</v>
      </c>
      <c r="BE29" s="22"/>
      <c r="BG29" s="19"/>
      <c r="BH29" s="192"/>
      <c r="BI29" s="24" t="s">
        <v>221</v>
      </c>
      <c r="BJ29" s="24">
        <v>5</v>
      </c>
      <c r="BK29" s="24">
        <v>5</v>
      </c>
      <c r="BL29" s="32" t="s">
        <v>224</v>
      </c>
      <c r="BM29" s="8" t="str">
        <f>CONCATENATE("10.",TEXT(128+BITWISE_AND(BL18,G68)/4,0),".",TEXT(BITWISE_AND(G69,BL18)*64+BK29*8+BITWISE_AND(G71,BL19)/4,0),".",TEXT(BITWISE_AND(G72,BL19)*64+BH24*10+BJ29,0))</f>
        <v>10.128.170.197</v>
      </c>
      <c r="BN29" s="22"/>
      <c r="BP29" s="19"/>
      <c r="BQ29" s="192"/>
      <c r="BR29" s="24" t="s">
        <v>221</v>
      </c>
      <c r="BS29" s="24">
        <v>5</v>
      </c>
      <c r="BT29" s="24">
        <v>5</v>
      </c>
      <c r="BU29" s="32" t="s">
        <v>224</v>
      </c>
      <c r="BV29" s="8" t="str">
        <f>CONCATENATE("10.",TEXT(128+BITWISE_AND(BU18,G68)/4,0),".",TEXT(BITWISE_AND(G69,BU18)*64+BT29*8+BITWISE_AND(G71,BU19)/4,0),".",TEXT(BITWISE_AND(G72,BU19)*64+BQ24*10+BS29,0))</f>
        <v>10.128.171.5</v>
      </c>
      <c r="BW29" s="22"/>
      <c r="BX29" s="35"/>
      <c r="BY29" s="19"/>
      <c r="BZ29" s="192"/>
      <c r="CA29" s="24" t="s">
        <v>221</v>
      </c>
      <c r="CB29" s="24">
        <v>5</v>
      </c>
      <c r="CC29" s="24">
        <v>5</v>
      </c>
      <c r="CD29" s="32" t="s">
        <v>224</v>
      </c>
      <c r="CE29" s="8" t="str">
        <f>CONCATENATE("10.",TEXT(128+BITWISE_AND(CD18,G68)/4,0),".",TEXT(BITWISE_AND(G69,CD18)*64+CC29*8+BITWISE_AND(G71,CD19)/4,0),".",TEXT(BITWISE_AND(G72,CD19)*64+BZ24*10+CB29,0))</f>
        <v>10.128.171.69</v>
      </c>
      <c r="CF29" s="19"/>
      <c r="CG29" s="192"/>
      <c r="CH29" s="24" t="s">
        <v>221</v>
      </c>
      <c r="CI29" s="24">
        <v>5</v>
      </c>
      <c r="CJ29" s="24">
        <v>5</v>
      </c>
      <c r="CK29" s="32" t="s">
        <v>225</v>
      </c>
      <c r="CL29" s="8" t="str">
        <f>CONCATENATE("10.",TEXT(128+BITWISE_AND(CD18,G68)/4,0),".",TEXT(BITWISE_AND(G69,CD18)*64+CJ29*8+BITWISE_AND(G71,CD19)/4,0),".",TEXT(BITWISE_AND(G72,CD19)*64+CG24*10+CI29,0))</f>
        <v>10.128.171.89</v>
      </c>
      <c r="CM29" s="22"/>
      <c r="CN29" s="35"/>
      <c r="CO29" s="19"/>
      <c r="CP29" s="192"/>
      <c r="CQ29" s="24" t="s">
        <v>221</v>
      </c>
      <c r="CR29" s="24">
        <v>5</v>
      </c>
      <c r="CS29" s="24">
        <v>5</v>
      </c>
      <c r="CT29" s="32" t="s">
        <v>224</v>
      </c>
      <c r="CU29" s="8" t="str">
        <f>CONCATENATE("10.",TEXT(128+BITWISE_AND(CT18,G68)/4,0),".",TEXT(BITWISE_AND(G69,CT18)*64+CS29*8+BITWISE_AND(G71,CT19)/4,0),".",TEXT(BITWISE_AND(G72,CT19)*64+CP24*10+CR29,0))</f>
        <v>10.128.171.133</v>
      </c>
      <c r="CV29" s="22"/>
      <c r="CX29" s="19"/>
      <c r="CY29" s="192"/>
      <c r="CZ29" s="24" t="s">
        <v>221</v>
      </c>
      <c r="DA29" s="24">
        <v>5</v>
      </c>
      <c r="DB29" s="24">
        <v>5</v>
      </c>
      <c r="DC29" s="32" t="s">
        <v>224</v>
      </c>
      <c r="DD29" s="8" t="str">
        <f>CONCATENATE("10.",TEXT(128+BITWISE_AND(DC18,G68)/4,0),".",TEXT(BITWISE_AND(G69,DC18)*64+DB29*8+BITWISE_AND(G71,DC19)/4,0),".",TEXT(BITWISE_AND(G72,DC19)*64+CY24*10+DA29,0))</f>
        <v>10.128.172.5</v>
      </c>
      <c r="DE29" s="22"/>
      <c r="DG29" s="19"/>
      <c r="DH29" s="192"/>
      <c r="DI29" s="24" t="s">
        <v>221</v>
      </c>
      <c r="DJ29" s="24">
        <v>5</v>
      </c>
      <c r="DK29" s="24">
        <v>5</v>
      </c>
      <c r="DL29" s="32" t="s">
        <v>224</v>
      </c>
      <c r="DM29" s="8" t="str">
        <f>CONCATENATE("10.",TEXT(128+BITWISE_AND(DL18,G68)/4,0),".",TEXT(BITWISE_AND(G69,DL18)*64+DK29*8+BITWISE_AND(G71,DL19)/4,0),".",TEXT(BITWISE_AND(G72,DL19)*64+DH24*10+DJ29,0))</f>
        <v>10.128.172.69</v>
      </c>
      <c r="DN29" s="21"/>
      <c r="DO29" s="192"/>
      <c r="DP29" s="40" t="s">
        <v>221</v>
      </c>
      <c r="DQ29" s="1">
        <v>5</v>
      </c>
      <c r="DR29" s="1">
        <v>7</v>
      </c>
      <c r="DS29" s="32"/>
      <c r="DT29" s="9" t="str">
        <f>CONCATENATE("10.",TEXT(128+BITWISE_AND(DL18,G68)/4,0),".",TEXT(BITWISE_AND(G69,DL18)*64+DR29*8+BITWISE_AND(G71,DL19)/4,0),".",TEXT(BITWISE_AND(G72,DL19)*64+DO24*10+DQ29,0))</f>
        <v>10.128.188.89</v>
      </c>
      <c r="DU29" s="22"/>
    </row>
    <row r="30" spans="2:125">
      <c r="B30" s="19"/>
      <c r="C30" s="192"/>
      <c r="D30" s="40" t="s">
        <v>226</v>
      </c>
      <c r="E30" s="24">
        <v>6</v>
      </c>
      <c r="F30" s="24">
        <v>6</v>
      </c>
      <c r="G30" s="33" t="s">
        <v>227</v>
      </c>
      <c r="H30" s="125" t="str">
        <f>CONCATENATE("10.",TEXT(128+BITWISE_AND(G18,G68)/4,0),".",TEXT(BITWISE_AND(G69,G18)*64+F30*8+BITWISE_AND(G71,G19)/4,0),".",TEXT(BITWISE_AND(G72,G19)*64+C24*10+E30,0))</f>
        <v>10.128.112.70</v>
      </c>
      <c r="I30" s="21"/>
      <c r="J30" s="192"/>
      <c r="K30" s="24" t="s">
        <v>226</v>
      </c>
      <c r="L30" s="24">
        <v>6</v>
      </c>
      <c r="M30" s="24">
        <v>1</v>
      </c>
      <c r="N30" s="1" t="s">
        <v>229</v>
      </c>
      <c r="O30" s="8" t="str">
        <f>CONCATENATE("10.",TEXT(128+BITWISE_AND(G18,G68)/4,0),".",TEXT(BITWISE_AND(G69,G18)*64+M30*8+BITWISE_AND(G71,G19)/4,0),".",TEXT(BITWISE_AND(G72,G19)*64+J24*10+L30,0))</f>
        <v>10.128.72.90</v>
      </c>
      <c r="P30" s="21"/>
      <c r="Q30" s="200"/>
      <c r="R30" s="40" t="s">
        <v>226</v>
      </c>
      <c r="S30" s="1">
        <v>6</v>
      </c>
      <c r="T30" s="1">
        <v>3</v>
      </c>
      <c r="U30" s="33" t="s">
        <v>230</v>
      </c>
      <c r="V30" s="9" t="str">
        <f>CONCATENATE("10.",TEXT(128+BITWISE_AND(G18,G68)/4,0),".",TEXT(BITWISE_AND(G69,G18)*64+T30*8+BITWISE_AND(G71,G19)/4,0),".",TEXT(BITWISE_AND(G72,G19)*64+Q24*10+S30,0))</f>
        <v>10.128.88.110</v>
      </c>
      <c r="W30" s="22"/>
      <c r="X30" s="35"/>
      <c r="Y30" s="19"/>
      <c r="Z30" s="192"/>
      <c r="AA30" s="24" t="s">
        <v>226</v>
      </c>
      <c r="AB30" s="24">
        <v>6</v>
      </c>
      <c r="AC30" s="24">
        <v>7</v>
      </c>
      <c r="AD30" s="31"/>
      <c r="AE30" s="8" t="str">
        <f>CONCATENATE("10.",TEXT(128+BITWISE_AND(AD18,G68)/4,0),".",TEXT(BITWISE_AND(G69,AD18)*64+AC30*8+BITWISE_AND(G71,AD19)/4,0),".",TEXT(BITWISE_AND(G72,AD19)*64+Z24*10+AB30,0))</f>
        <v>10.128.56.70</v>
      </c>
      <c r="AF30" s="19"/>
      <c r="AG30" s="200"/>
      <c r="AH30" s="40" t="s">
        <v>226</v>
      </c>
      <c r="AI30" s="1">
        <v>6</v>
      </c>
      <c r="AJ30" s="1">
        <v>5</v>
      </c>
      <c r="AK30" s="32" t="s">
        <v>231</v>
      </c>
      <c r="AL30" s="9" t="str">
        <f>CONCATENATE("10.",TEXT(128+BITWISE_AND(AD18,G68)/4,0),".",TEXT(BITWISE_AND(G69,AD18)*64+AJ30*8+BITWISE_AND(G71,AD19)/4,0),".",TEXT(BITWISE_AND(G72,AD19)*64+AG24*10+AI30,0))</f>
        <v>10.128.40.90</v>
      </c>
      <c r="AM30" s="22"/>
      <c r="AN30" s="35"/>
      <c r="AO30" s="19"/>
      <c r="AP30" s="192"/>
      <c r="AQ30" s="24" t="s">
        <v>226</v>
      </c>
      <c r="AR30" s="24">
        <v>6</v>
      </c>
      <c r="AS30" s="24">
        <v>7</v>
      </c>
      <c r="AT30" s="1"/>
      <c r="AU30" s="8" t="str">
        <f>CONCATENATE("10.",TEXT(128+BITWISE_AND(AT18,G68)/4,0),".",TEXT(BITWISE_AND(G69,AT18)*64+AS30*8+BITWISE_AND(G71,AT19)/4,0),".",TEXT(BITWISE_AND(G72,AT19)*64+AP24*10+AR30,0))</f>
        <v>10.128.184.134</v>
      </c>
      <c r="AV30" s="22"/>
      <c r="AX30" s="19"/>
      <c r="AY30" s="192"/>
      <c r="AZ30" s="24" t="s">
        <v>226</v>
      </c>
      <c r="BA30" s="24">
        <v>6</v>
      </c>
      <c r="BB30" s="24">
        <v>7</v>
      </c>
      <c r="BC30" s="1"/>
      <c r="BD30" s="8" t="str">
        <f>CONCATENATE("10.",TEXT(128+BITWISE_AND(BC18,G68)/4,0),".",TEXT(BITWISE_AND(G69,BC18)*64+BB30*8+BITWISE_AND(G71,BC19)/4,0),".",TEXT(BITWISE_AND(G72,BC19)*64+AY24*10+BA30,0))</f>
        <v>10.128.186.70</v>
      </c>
      <c r="BE30" s="22"/>
      <c r="BG30" s="19"/>
      <c r="BH30" s="192"/>
      <c r="BI30" s="24" t="s">
        <v>226</v>
      </c>
      <c r="BJ30" s="24">
        <v>6</v>
      </c>
      <c r="BK30" s="24">
        <v>7</v>
      </c>
      <c r="BL30" s="1"/>
      <c r="BM30" s="8" t="str">
        <f>CONCATENATE("10.",TEXT(128+BITWISE_AND(BL18,G68)/4,0),".",TEXT(BITWISE_AND(G69,BL18)*64+BK30*8+BITWISE_AND(G71,BL19)/4,0),".",TEXT(BITWISE_AND(G72,BL19)*64+BH24*10+BJ30,0))</f>
        <v>10.128.186.198</v>
      </c>
      <c r="BN30" s="22"/>
      <c r="BP30" s="19"/>
      <c r="BQ30" s="192"/>
      <c r="BR30" s="24" t="s">
        <v>226</v>
      </c>
      <c r="BS30" s="24">
        <v>6</v>
      </c>
      <c r="BT30" s="24">
        <v>5</v>
      </c>
      <c r="BU30" s="32" t="s">
        <v>232</v>
      </c>
      <c r="BV30" s="8" t="str">
        <f>CONCATENATE("10.",TEXT(128+BITWISE_AND(BU18,G68)/4,0),".",TEXT(BITWISE_AND(G69,BU18)*64+BT30*8+BITWISE_AND(G71,BU19)/4,0),".",TEXT(BITWISE_AND(G72,BU19)*64+BQ24*10+BS30,0))</f>
        <v>10.128.171.6</v>
      </c>
      <c r="BW30" s="22"/>
      <c r="BX30" s="35"/>
      <c r="BY30" s="19"/>
      <c r="BZ30" s="192"/>
      <c r="CA30" s="24" t="s">
        <v>226</v>
      </c>
      <c r="CB30" s="24">
        <v>6</v>
      </c>
      <c r="CC30" s="24">
        <v>7</v>
      </c>
      <c r="CD30" s="1"/>
      <c r="CE30" s="8" t="str">
        <f>CONCATENATE("10.",TEXT(128+BITWISE_AND(CD18,G68)/4,0),".",TEXT(BITWISE_AND(G69,CD18)*64+CC30*8+BITWISE_AND(G71,CD19)/4,0),".",TEXT(BITWISE_AND(G72,CD19)*64+BZ24*10+CB30,0))</f>
        <v>10.128.187.70</v>
      </c>
      <c r="CF30" s="19"/>
      <c r="CG30" s="192"/>
      <c r="CH30" s="24" t="s">
        <v>226</v>
      </c>
      <c r="CI30" s="24">
        <v>6</v>
      </c>
      <c r="CJ30" s="24">
        <v>5</v>
      </c>
      <c r="CK30" s="32" t="s">
        <v>233</v>
      </c>
      <c r="CL30" s="8" t="str">
        <f>CONCATENATE("10.",TEXT(128+BITWISE_AND(CD18,G68)/4,0),".",TEXT(BITWISE_AND(G69,CD18)*64+CJ30*8+BITWISE_AND(G71,CD19)/4,0),".",TEXT(BITWISE_AND(G72,CD19)*64+CG24*10+CI30,0))</f>
        <v>10.128.171.90</v>
      </c>
      <c r="CM30" s="22"/>
      <c r="CN30" s="35"/>
      <c r="CO30" s="19"/>
      <c r="CP30" s="192"/>
      <c r="CQ30" s="24" t="s">
        <v>226</v>
      </c>
      <c r="CR30" s="24">
        <v>6</v>
      </c>
      <c r="CS30" s="24">
        <v>7</v>
      </c>
      <c r="CU30" s="8" t="str">
        <f>CONCATENATE("10.",TEXT(128+BITWISE_AND(CT18,G68)/4,0),".",TEXT(BITWISE_AND(G69,CT18)*64+CS30*8+BITWISE_AND(G71,CT19)/4,0),".",TEXT(BITWISE_AND(G72,CT19)*64+CP24*10+CR30,0))</f>
        <v>10.128.187.134</v>
      </c>
      <c r="CV30" s="22"/>
      <c r="CX30" s="19"/>
      <c r="CY30" s="192"/>
      <c r="CZ30" s="24" t="s">
        <v>226</v>
      </c>
      <c r="DA30" s="24">
        <v>6</v>
      </c>
      <c r="DB30" s="24">
        <v>7</v>
      </c>
      <c r="DD30" s="8" t="str">
        <f>CONCATENATE("10.",TEXT(128+BITWISE_AND(DC18,G68)/4,0),".",TEXT(BITWISE_AND(G69,DC18)*64+DB30*8+BITWISE_AND(G71,DC19)/4,0),".",TEXT(BITWISE_AND(G72,DC19)*64+CY24*10+DA30,0))</f>
        <v>10.128.188.6</v>
      </c>
      <c r="DE30" s="22"/>
      <c r="DG30" s="19"/>
      <c r="DH30" s="192"/>
      <c r="DI30" s="24" t="s">
        <v>226</v>
      </c>
      <c r="DJ30" s="24">
        <v>6</v>
      </c>
      <c r="DK30" s="24">
        <v>7</v>
      </c>
      <c r="DL30" s="32" t="s">
        <v>234</v>
      </c>
      <c r="DM30" s="8" t="str">
        <f>CONCATENATE("10.",TEXT(128+BITWISE_AND(DL18,G68)/4,0),".",TEXT(BITWISE_AND(G69,DL18)*64+DK30*8+BITWISE_AND(G71,DL19)/4,0),".",TEXT(BITWISE_AND(G72,DL19)*64+DH24*10+DJ30,0))</f>
        <v>10.128.188.70</v>
      </c>
      <c r="DN30" s="21"/>
      <c r="DO30" s="192"/>
      <c r="DP30" s="40" t="s">
        <v>226</v>
      </c>
      <c r="DQ30" s="1">
        <v>6</v>
      </c>
      <c r="DR30" s="1">
        <v>7</v>
      </c>
      <c r="DS30" s="32"/>
      <c r="DT30" s="9" t="str">
        <f>CONCATENATE("10.",TEXT(128+BITWISE_AND(DL18,G68)/4,0),".",TEXT(BITWISE_AND(G69,DL18)*64+DR30*8+BITWISE_AND(G71,DL19)/4,0),".",TEXT(BITWISE_AND(G72,DL19)*64+DO24*10+DQ30,0))</f>
        <v>10.128.188.90</v>
      </c>
      <c r="DU30" s="22"/>
    </row>
    <row r="31" spans="2:125">
      <c r="B31" s="19"/>
      <c r="C31" s="192"/>
      <c r="D31" s="40" t="s">
        <v>235</v>
      </c>
      <c r="E31" s="24">
        <v>7</v>
      </c>
      <c r="F31" s="24">
        <v>3</v>
      </c>
      <c r="G31" s="33" t="s">
        <v>236</v>
      </c>
      <c r="H31" s="8" t="str">
        <f>CONCATENATE("10.",TEXT(128+BITWISE_AND(G18,G68)/4,0),".",TEXT(BITWISE_AND(G69,G18)*64+F31*8+BITWISE_AND(G71,G19)/4,0),".",TEXT(BITWISE_AND(G72,G19)*64+C24*10+E31,0))</f>
        <v>10.128.88.71</v>
      </c>
      <c r="I31" s="21"/>
      <c r="J31" s="192"/>
      <c r="K31" s="24" t="s">
        <v>235</v>
      </c>
      <c r="L31" s="24">
        <v>7</v>
      </c>
      <c r="M31" s="24">
        <v>1</v>
      </c>
      <c r="N31" s="1" t="s">
        <v>237</v>
      </c>
      <c r="O31" s="8" t="str">
        <f>CONCATENATE("10.",TEXT(128+BITWISE_AND(G18,G68)/4,0),".",TEXT(BITWISE_AND(G69,G18)*64+M31*8+BITWISE_AND(G71,G19)/4,0),".",TEXT(BITWISE_AND(G72,G19)*64+J24*10+L31,0))</f>
        <v>10.128.72.91</v>
      </c>
      <c r="P31" s="21"/>
      <c r="Q31" s="200"/>
      <c r="R31" s="40" t="s">
        <v>235</v>
      </c>
      <c r="S31" s="1">
        <v>7</v>
      </c>
      <c r="T31" s="24">
        <v>6</v>
      </c>
      <c r="U31" s="33" t="s">
        <v>238</v>
      </c>
      <c r="V31" s="126" t="str">
        <f>CONCATENATE("10.",TEXT(128+BITWISE_AND(G18,G68)/4,0),".",TEXT(BITWISE_AND(G69,G18)*64+T31*8+BITWISE_AND(G71,G19)/4,0),".",TEXT(BITWISE_AND(G72,G19)*64+Q24*10+S31,0))</f>
        <v>10.128.112.111</v>
      </c>
      <c r="W31" s="22"/>
      <c r="X31" s="35"/>
      <c r="Y31" s="19"/>
      <c r="Z31" s="192"/>
      <c r="AA31" s="24" t="s">
        <v>235</v>
      </c>
      <c r="AB31" s="24">
        <v>7</v>
      </c>
      <c r="AC31" s="24">
        <v>0</v>
      </c>
      <c r="AD31" s="32" t="s">
        <v>202</v>
      </c>
      <c r="AE31" s="8" t="str">
        <f>CONCATENATE("10.",TEXT(128+BITWISE_AND(AD18,G68)/4,0),".",TEXT(BITWISE_AND(G69,AD18)*64+AC31*8+BITWISE_AND(G71,AD19)/4,0),".",TEXT(BITWISE_AND(G72,AD19)*64+Z24*10+AB31,0))</f>
        <v>10.128.0.71</v>
      </c>
      <c r="AF31" s="19"/>
      <c r="AG31" s="200"/>
      <c r="AH31" s="40" t="s">
        <v>235</v>
      </c>
      <c r="AI31" s="1">
        <v>7</v>
      </c>
      <c r="AJ31" s="1">
        <v>7</v>
      </c>
      <c r="AK31" s="1"/>
      <c r="AL31" s="9" t="str">
        <f>CONCATENATE("10.",TEXT(128+BITWISE_AND(AD18,G68)/4,0),".",TEXT(BITWISE_AND(G69,AD18)*64+AJ31*8+BITWISE_AND(G71,AD19)/4,0),".",TEXT(BITWISE_AND(G72,AD19)*64+AG24*10+AI31,0))</f>
        <v>10.128.56.91</v>
      </c>
      <c r="AM31" s="22"/>
      <c r="AN31" s="35"/>
      <c r="AO31" s="19"/>
      <c r="AP31" s="192"/>
      <c r="AQ31" s="24" t="s">
        <v>235</v>
      </c>
      <c r="AR31" s="24">
        <v>7</v>
      </c>
      <c r="AS31" s="24">
        <v>3</v>
      </c>
      <c r="AT31" s="32" t="s">
        <v>241</v>
      </c>
      <c r="AU31" s="8" t="str">
        <f>CONCATENATE("10.",TEXT(128+BITWISE_AND(AT18,G68)/4,0),".",TEXT(BITWISE_AND(G69,AT18)*64+AS31*8+BITWISE_AND(G71,AT19)/4,0),".",TEXT(BITWISE_AND(G72,AT19)*64+AP24*10+AR31,0))</f>
        <v>10.128.152.135</v>
      </c>
      <c r="AV31" s="22"/>
      <c r="AX31" s="19"/>
      <c r="AY31" s="192"/>
      <c r="AZ31" s="24" t="s">
        <v>235</v>
      </c>
      <c r="BA31" s="24">
        <v>7</v>
      </c>
      <c r="BB31" s="24">
        <v>7</v>
      </c>
      <c r="BC31" s="1"/>
      <c r="BD31" s="8" t="str">
        <f>CONCATENATE("10.",TEXT(128+BITWISE_AND(BC18,G68)/4,0),".",TEXT(BITWISE_AND(G69,BC18)*64+BB31*8+BITWISE_AND(G71,BC19)/4,0),".",TEXT(BITWISE_AND(G72,BC19)*64+AY24*10+BA31,0))</f>
        <v>10.128.186.71</v>
      </c>
      <c r="BE31" s="22"/>
      <c r="BG31" s="19"/>
      <c r="BH31" s="192"/>
      <c r="BI31" s="24" t="s">
        <v>235</v>
      </c>
      <c r="BJ31" s="24">
        <v>7</v>
      </c>
      <c r="BK31" s="24">
        <v>7</v>
      </c>
      <c r="BL31" s="1"/>
      <c r="BM31" s="8" t="str">
        <f>CONCATENATE("10.",TEXT(128+BITWISE_AND(BL18,G68)/4,0),".",TEXT(BITWISE_AND(G69,BL18)*64+BK31*8+BITWISE_AND(G71,BL19)/4,0),".",TEXT(BITWISE_AND(G72,BL19)*64+BH24*10+BJ31,0))</f>
        <v>10.128.186.199</v>
      </c>
      <c r="BN31" s="22"/>
      <c r="BP31" s="19"/>
      <c r="BQ31" s="192"/>
      <c r="BR31" s="24" t="s">
        <v>235</v>
      </c>
      <c r="BS31" s="24">
        <v>7</v>
      </c>
      <c r="BT31" s="24">
        <v>7</v>
      </c>
      <c r="BU31" s="1"/>
      <c r="BV31" s="8" t="str">
        <f>CONCATENATE("10.",TEXT(128+BITWISE_AND(BU18,G68)/4,0),".",TEXT(BITWISE_AND(G69,BU18)*64+BT31*8+BITWISE_AND(G71,BU19)/4,0),".",TEXT(BITWISE_AND(G72,BU19)*64+BQ24*10+BS31,0))</f>
        <v>10.128.187.7</v>
      </c>
      <c r="BW31" s="22"/>
      <c r="BX31" s="35"/>
      <c r="BY31" s="19"/>
      <c r="BZ31" s="192"/>
      <c r="CA31" s="24" t="s">
        <v>235</v>
      </c>
      <c r="CB31" s="24">
        <v>7</v>
      </c>
      <c r="CC31" s="24">
        <v>3</v>
      </c>
      <c r="CD31" s="32" t="s">
        <v>241</v>
      </c>
      <c r="CE31" s="8" t="str">
        <f>CONCATENATE("10.",TEXT(128+BITWISE_AND(CD18,G68)/4,0),".",TEXT(BITWISE_AND(G69,CD18)*64+CC31*8+BITWISE_AND(G71,CD19)/4,0),".",TEXT(BITWISE_AND(G72,CD19)*64+BZ24*10+CB31,0))</f>
        <v>10.128.155.71</v>
      </c>
      <c r="CF31" s="19"/>
      <c r="CG31" s="192"/>
      <c r="CH31" s="24" t="s">
        <v>235</v>
      </c>
      <c r="CI31" s="24">
        <v>7</v>
      </c>
      <c r="CJ31" s="24">
        <v>7</v>
      </c>
      <c r="CK31" s="31"/>
      <c r="CL31" s="8" t="str">
        <f>CONCATENATE("10.",TEXT(128+BITWISE_AND(CD18,G68)/4,0),".",TEXT(BITWISE_AND(G69,CD18)*64+CJ31*8+BITWISE_AND(G71,CD19)/4,0),".",TEXT(BITWISE_AND(G72,CD19)*64+CG24*10+CI31,0))</f>
        <v>10.128.187.91</v>
      </c>
      <c r="CM31" s="22"/>
      <c r="CN31" s="35"/>
      <c r="CO31" s="19"/>
      <c r="CP31" s="192"/>
      <c r="CQ31" s="24" t="s">
        <v>235</v>
      </c>
      <c r="CR31" s="24">
        <v>7</v>
      </c>
      <c r="CS31" s="24">
        <v>7</v>
      </c>
      <c r="CT31" s="1"/>
      <c r="CU31" s="8" t="str">
        <f>CONCATENATE("10.",TEXT(128+BITWISE_AND(CT18,G68)/4,0),".",TEXT(BITWISE_AND(G69,CT18)*64+CS31*8+BITWISE_AND(G71,CT19)/4,0),".",TEXT(BITWISE_AND(G72,CT19)*64+CP24*10+CR31,0))</f>
        <v>10.128.187.135</v>
      </c>
      <c r="CV31" s="22"/>
      <c r="CX31" s="19"/>
      <c r="CY31" s="192"/>
      <c r="CZ31" s="24" t="s">
        <v>235</v>
      </c>
      <c r="DA31" s="24">
        <v>7</v>
      </c>
      <c r="DB31" s="24">
        <v>3</v>
      </c>
      <c r="DC31" s="32" t="s">
        <v>241</v>
      </c>
      <c r="DD31" s="8" t="str">
        <f>CONCATENATE("10.",TEXT(128+BITWISE_AND(DC18,G68)/4,0),".",TEXT(BITWISE_AND(G69,DC18)*64+DB31*8+BITWISE_AND(G71,DC19)/4,0),".",TEXT(BITWISE_AND(G72,DC19)*64+CY24*10+DA31,0))</f>
        <v>10.128.156.7</v>
      </c>
      <c r="DE31" s="22"/>
      <c r="DG31" s="19"/>
      <c r="DH31" s="192"/>
      <c r="DI31" s="24" t="s">
        <v>235</v>
      </c>
      <c r="DJ31" s="24">
        <v>7</v>
      </c>
      <c r="DK31" s="24">
        <v>3</v>
      </c>
      <c r="DL31" s="32" t="s">
        <v>236</v>
      </c>
      <c r="DM31" s="8" t="str">
        <f>CONCATENATE("10.",TEXT(128+BITWISE_AND(DL18,G68)/4,0),".",TEXT(BITWISE_AND(G69,DL18)*64+DK31*8+BITWISE_AND(G71,DL19)/4,0),".",TEXT(BITWISE_AND(G72,DL19)*64+DH24*10+DJ31,0))</f>
        <v>10.128.156.71</v>
      </c>
      <c r="DN31" s="21"/>
      <c r="DO31" s="192"/>
      <c r="DP31" s="40" t="s">
        <v>235</v>
      </c>
      <c r="DQ31" s="1">
        <v>7</v>
      </c>
      <c r="DR31" s="1">
        <v>3</v>
      </c>
      <c r="DS31" s="32" t="s">
        <v>242</v>
      </c>
      <c r="DT31" s="9" t="str">
        <f>CONCATENATE("10.",TEXT(128+BITWISE_AND(DL18,G68)/4,0),".",TEXT(BITWISE_AND(G69,DL18)*64+DR31*8+BITWISE_AND(G71,DL19)/4,0),".",TEXT(BITWISE_AND(G72,DL19)*64+DO24*10+DQ31,0))</f>
        <v>10.128.156.91</v>
      </c>
      <c r="DU31" s="22"/>
    </row>
    <row r="32" spans="2:125">
      <c r="B32" s="19"/>
      <c r="C32" s="192"/>
      <c r="D32" s="48" t="s">
        <v>243</v>
      </c>
      <c r="E32" s="25">
        <v>8</v>
      </c>
      <c r="F32" s="25">
        <v>1</v>
      </c>
      <c r="G32" s="36" t="s">
        <v>244</v>
      </c>
      <c r="H32" s="10" t="str">
        <f>CONCATENATE("10.",TEXT(128+BITWISE_AND(G18,G68)/4,0),".",TEXT(BITWISE_AND(G69,G18)*64+F32*8+BITWISE_AND(G71,G19)/4,0),".",TEXT(BITWISE_AND(G72,G19)*64+C24*10+E32,0))</f>
        <v>10.128.72.72</v>
      </c>
      <c r="I32" s="21"/>
      <c r="J32" s="192"/>
      <c r="K32" s="25" t="s">
        <v>243</v>
      </c>
      <c r="L32" s="25">
        <v>8</v>
      </c>
      <c r="M32" s="25">
        <v>0</v>
      </c>
      <c r="N32" s="2" t="s">
        <v>245</v>
      </c>
      <c r="O32" s="137" t="str">
        <f>V23</f>
        <v>10.128.127.252</v>
      </c>
      <c r="P32" s="21"/>
      <c r="Q32" s="200"/>
      <c r="R32" s="48" t="s">
        <v>243</v>
      </c>
      <c r="S32" s="2">
        <v>8</v>
      </c>
      <c r="T32" s="2">
        <v>0</v>
      </c>
      <c r="U32" s="36" t="s">
        <v>246</v>
      </c>
      <c r="V32" s="137" t="str">
        <f>O23</f>
        <v>10.128.127.250</v>
      </c>
      <c r="W32" s="22"/>
      <c r="X32" s="35"/>
      <c r="Y32" s="19"/>
      <c r="Z32" s="192"/>
      <c r="AA32" s="25" t="s">
        <v>243</v>
      </c>
      <c r="AB32" s="25">
        <v>8</v>
      </c>
      <c r="AC32" s="25">
        <v>0</v>
      </c>
      <c r="AD32" s="36" t="s">
        <v>246</v>
      </c>
      <c r="AE32" s="137" t="str">
        <f>AL23</f>
        <v>10.128.56.107</v>
      </c>
      <c r="AF32" s="19"/>
      <c r="AG32" s="200"/>
      <c r="AH32" s="48" t="s">
        <v>243</v>
      </c>
      <c r="AI32" s="2">
        <v>8</v>
      </c>
      <c r="AJ32" s="2">
        <v>0</v>
      </c>
      <c r="AK32" s="2" t="s">
        <v>247</v>
      </c>
      <c r="AL32" s="9" t="str">
        <f>CONCATENATE("10.",TEXT(128+BITWISE_AND(AD18,G68)/4,0),".",TEXT(BITWISE_AND(G69,AD18)*64+AJ32*8+BITWISE_AND(G71,AD19)/4,0),".",TEXT(BITWISE_AND(G72,AD19)*64+AG24*10+AI32,0))</f>
        <v>10.128.0.92</v>
      </c>
      <c r="AM32" s="22"/>
      <c r="AN32" s="35"/>
      <c r="AO32" s="19"/>
      <c r="AP32" s="192"/>
      <c r="AQ32" s="25" t="s">
        <v>243</v>
      </c>
      <c r="AR32" s="25">
        <v>8</v>
      </c>
      <c r="AS32" s="25">
        <v>7</v>
      </c>
      <c r="AT32" s="2"/>
      <c r="AU32" s="10" t="str">
        <f>CONCATENATE("10.",TEXT(128+BITWISE_AND(AT18,G68)/4,0),".",TEXT(BITWISE_AND(G69,AT18)*64+AS32*8+BITWISE_AND(G71,AT19)/4,0),".",TEXT(BITWISE_AND(G72,AT19)*64+AP24*10+AR32,0))</f>
        <v>10.128.184.136</v>
      </c>
      <c r="AV32" s="22"/>
      <c r="AX32" s="19"/>
      <c r="AY32" s="192"/>
      <c r="AZ32" s="25" t="s">
        <v>243</v>
      </c>
      <c r="BA32" s="25">
        <v>8</v>
      </c>
      <c r="BB32" s="25">
        <v>7</v>
      </c>
      <c r="BC32" s="2"/>
      <c r="BD32" s="10" t="str">
        <f>CONCATENATE("10.",TEXT(128+BITWISE_AND(BC18,G68)/4,0),".",TEXT(BITWISE_AND(G69,BC18)*64+BB32*8+BITWISE_AND(G71,BC19)/4,0),".",TEXT(BITWISE_AND(G72,BC19)*64+AY24*10+BA32,0))</f>
        <v>10.128.186.72</v>
      </c>
      <c r="BE32" s="22"/>
      <c r="BG32" s="19"/>
      <c r="BH32" s="192"/>
      <c r="BI32" s="25" t="s">
        <v>243</v>
      </c>
      <c r="BJ32" s="25">
        <v>8</v>
      </c>
      <c r="BK32" s="25">
        <v>7</v>
      </c>
      <c r="BL32" s="2"/>
      <c r="BM32" s="10" t="str">
        <f>CONCATENATE("10.",TEXT(128+BITWISE_AND(BL18,G68)/4,0),".",TEXT(BITWISE_AND(G69,BL18)*64+BK32*8+BITWISE_AND(G71,BL19)/4,0),".",TEXT(BITWISE_AND(G72,BL19)*64+BH24*10+BJ32,0))</f>
        <v>10.128.186.200</v>
      </c>
      <c r="BN32" s="22"/>
      <c r="BP32" s="19"/>
      <c r="BQ32" s="192"/>
      <c r="BR32" s="25" t="s">
        <v>243</v>
      </c>
      <c r="BS32" s="25">
        <v>8</v>
      </c>
      <c r="BT32" s="25">
        <v>7</v>
      </c>
      <c r="BU32" s="2"/>
      <c r="BV32" s="10" t="str">
        <f>CONCATENATE("10.",TEXT(128+BITWISE_AND(BU18,G68)/4,0),".",TEXT(BITWISE_AND(G69,BU18)*64+BT32*8+BITWISE_AND(G71,BU19)/4,0),".",TEXT(BITWISE_AND(G72,BU19)*64+BQ24*10+BS32,0))</f>
        <v>10.128.187.8</v>
      </c>
      <c r="BW32" s="22"/>
      <c r="BX32" s="35"/>
      <c r="BY32" s="19"/>
      <c r="BZ32" s="192"/>
      <c r="CA32" s="25" t="s">
        <v>243</v>
      </c>
      <c r="CB32" s="25">
        <v>8</v>
      </c>
      <c r="CC32" s="25">
        <v>0</v>
      </c>
      <c r="CD32" s="2" t="s">
        <v>245</v>
      </c>
      <c r="CE32" s="137" t="str">
        <f>CL23</f>
        <v>10.128.191.252</v>
      </c>
      <c r="CF32" s="19"/>
      <c r="CG32" s="192"/>
      <c r="CH32" s="25" t="s">
        <v>243</v>
      </c>
      <c r="CI32" s="25">
        <v>8</v>
      </c>
      <c r="CJ32" s="25">
        <v>0</v>
      </c>
      <c r="CK32" s="2" t="s">
        <v>247</v>
      </c>
      <c r="CL32" s="137" t="str">
        <f>CE24</f>
        <v>10.128.147.74</v>
      </c>
      <c r="CM32" s="22"/>
      <c r="CN32" s="35"/>
      <c r="CO32" s="19"/>
      <c r="CP32" s="192"/>
      <c r="CQ32" s="25" t="s">
        <v>243</v>
      </c>
      <c r="CR32" s="25">
        <v>8</v>
      </c>
      <c r="CS32" s="25">
        <v>7</v>
      </c>
      <c r="CT32" s="2"/>
      <c r="CU32" s="10" t="str">
        <f>CONCATENATE("10.",TEXT(128+BITWISE_AND(CT18,G68)/4,0),".",TEXT(BITWISE_AND(G69,CT18)*64+CS32*8+BITWISE_AND(G71,CT19)/4,0),".",TEXT(BITWISE_AND(G72,CT19)*64+CP24*10+CR32,0))</f>
        <v>10.128.187.136</v>
      </c>
      <c r="CV32" s="22"/>
      <c r="CX32" s="19"/>
      <c r="CY32" s="192"/>
      <c r="CZ32" s="25" t="s">
        <v>243</v>
      </c>
      <c r="DA32" s="25">
        <v>8</v>
      </c>
      <c r="DB32" s="25">
        <v>7</v>
      </c>
      <c r="DC32" s="2"/>
      <c r="DD32" s="10" t="str">
        <f>CONCATENATE("10.",TEXT(128+BITWISE_AND(DC18,G68)/4,0),".",TEXT(BITWISE_AND(G69,DC18)*64+DB32*8+BITWISE_AND(G71,DC19)/4,0),".",TEXT(BITWISE_AND(G72,DC19)*64+CY24*10+DA32,0))</f>
        <v>10.128.188.8</v>
      </c>
      <c r="DE32" s="22"/>
      <c r="DG32" s="19"/>
      <c r="DH32" s="192"/>
      <c r="DI32" s="25" t="s">
        <v>243</v>
      </c>
      <c r="DJ32" s="25">
        <v>8</v>
      </c>
      <c r="DK32" s="25">
        <v>7</v>
      </c>
      <c r="DL32" s="2"/>
      <c r="DM32" s="10" t="str">
        <f>CONCATENATE("10.",TEXT(128+BITWISE_AND(DL18,G68)/4,0),".",TEXT(BITWISE_AND(G69,DL18)*64+DK32*8+BITWISE_AND(G71,DL19)/4,0),".",TEXT(BITWISE_AND(G72,DL19)*64+DH24*10+DJ32,0))</f>
        <v>10.128.188.72</v>
      </c>
      <c r="DN32" s="21"/>
      <c r="DO32" s="192"/>
      <c r="DP32" s="48" t="s">
        <v>243</v>
      </c>
      <c r="DQ32" s="2">
        <v>8</v>
      </c>
      <c r="DR32" s="2">
        <v>7</v>
      </c>
      <c r="DS32" s="77"/>
      <c r="DT32" s="10" t="str">
        <f>CONCATENATE("10.",TEXT(128+BITWISE_AND(DL18,G68)/4,0),".",TEXT(BITWISE_AND(G69,DL18)*64+DR32*8+BITWISE_AND(G71,DL19)/4,0),".",TEXT(BITWISE_AND(G72,DL19)*64+DO24*10+DQ32,0))</f>
        <v>10.128.188.92</v>
      </c>
      <c r="DU32" s="22"/>
    </row>
    <row r="33" spans="2:125" ht="15.75" thickBot="1">
      <c r="B33" s="19"/>
      <c r="C33" s="192"/>
      <c r="D33" s="49" t="s">
        <v>248</v>
      </c>
      <c r="E33" s="26">
        <v>9</v>
      </c>
      <c r="F33" s="26">
        <v>3</v>
      </c>
      <c r="G33" s="120" t="s">
        <v>213</v>
      </c>
      <c r="H33" s="12" t="str">
        <f>CONCATENATE("10.",TEXT(128+BITWISE_AND(G18,G68)/4,0),".",TEXT(BITWISE_AND(G69,G18)*64+F33*8+BITWISE_AND(G71,G19)/4,0),".",TEXT(BITWISE_AND(G72,G19)*64+C24*10+E33,0))</f>
        <v>10.128.88.73</v>
      </c>
      <c r="I33" s="21"/>
      <c r="J33" s="192"/>
      <c r="K33" s="26" t="s">
        <v>248</v>
      </c>
      <c r="L33" s="26">
        <v>9</v>
      </c>
      <c r="M33" s="26">
        <v>0</v>
      </c>
      <c r="N33" s="11" t="s">
        <v>249</v>
      </c>
      <c r="O33" s="155" t="str">
        <f>V41</f>
        <v>10.128.127.253</v>
      </c>
      <c r="P33" s="21"/>
      <c r="Q33" s="201"/>
      <c r="R33" s="49" t="s">
        <v>248</v>
      </c>
      <c r="S33" s="11">
        <v>9</v>
      </c>
      <c r="T33" s="11">
        <v>0</v>
      </c>
      <c r="U33" s="11" t="s">
        <v>250</v>
      </c>
      <c r="V33" s="155" t="str">
        <f>O41</f>
        <v>10.128.127.251</v>
      </c>
      <c r="W33" s="22"/>
      <c r="X33" s="35"/>
      <c r="Y33" s="19"/>
      <c r="Z33" s="192"/>
      <c r="AA33" s="26" t="s">
        <v>248</v>
      </c>
      <c r="AB33" s="26">
        <v>9</v>
      </c>
      <c r="AC33" s="26">
        <v>3</v>
      </c>
      <c r="AD33" s="120" t="s">
        <v>242</v>
      </c>
      <c r="AE33" s="12" t="str">
        <f>CONCATENATE("10.",TEXT(128+BITWISE_AND(AD18,G68)/4,0),".",TEXT(BITWISE_AND(G69,AD18)*64+AC33*8+BITWISE_AND(G71,AD19)/4,0),".",TEXT(BITWISE_AND(G72,AD19)*64+Z24*10+AB33,0))</f>
        <v>10.128.24.73</v>
      </c>
      <c r="AF33" s="19"/>
      <c r="AG33" s="201"/>
      <c r="AH33" s="49" t="s">
        <v>248</v>
      </c>
      <c r="AI33" s="11">
        <v>9</v>
      </c>
      <c r="AJ33" s="11">
        <v>0</v>
      </c>
      <c r="AK33" s="11" t="s">
        <v>251</v>
      </c>
      <c r="AL33" s="42" t="str">
        <f>CONCATENATE("10.",TEXT(128+BITWISE_AND(AD18,G68)/4,0),".",TEXT(BITWISE_AND(G69,AD18)*64+AJ33*8+BITWISE_AND(G71,AD19)/4,0),".",TEXT(BITWISE_AND(G72,AD19)*64+AG24*10+AI33,0))</f>
        <v>10.128.0.93</v>
      </c>
      <c r="AM33" s="22"/>
      <c r="AN33" s="35"/>
      <c r="AO33" s="19"/>
      <c r="AP33" s="192"/>
      <c r="AQ33" s="26" t="s">
        <v>248</v>
      </c>
      <c r="AR33" s="26">
        <v>9</v>
      </c>
      <c r="AS33" s="26">
        <v>3</v>
      </c>
      <c r="AT33" s="120" t="s">
        <v>213</v>
      </c>
      <c r="AU33" s="12" t="str">
        <f>CONCATENATE("10.",TEXT(128+BITWISE_AND(AT18,G68)/4,0),".",TEXT(BITWISE_AND(G69,AT18)*64+AS33*8+BITWISE_AND(G71,AT19)/4,0),".",TEXT(BITWISE_AND(G72,AT19)*64+AP24*10+AR33,0))</f>
        <v>10.128.152.137</v>
      </c>
      <c r="AV33" s="22"/>
      <c r="AX33" s="19"/>
      <c r="AY33" s="192"/>
      <c r="AZ33" s="26" t="s">
        <v>248</v>
      </c>
      <c r="BA33" s="26">
        <v>9</v>
      </c>
      <c r="BB33" s="26">
        <v>3</v>
      </c>
      <c r="BC33" s="120" t="s">
        <v>213</v>
      </c>
      <c r="BD33" s="12" t="str">
        <f>CONCATENATE("10.",TEXT(128+BITWISE_AND(BC18,G68)/4,0),".",TEXT(BITWISE_AND(G69,BC18)*64+BB33*8+BITWISE_AND(G71,BC19)/4,0),".",TEXT(BITWISE_AND(G72,BC19)*64+AY24*10+BA33,0))</f>
        <v>10.128.154.73</v>
      </c>
      <c r="BE33" s="22"/>
      <c r="BG33" s="19"/>
      <c r="BH33" s="192"/>
      <c r="BI33" s="26" t="s">
        <v>248</v>
      </c>
      <c r="BJ33" s="26">
        <v>9</v>
      </c>
      <c r="BK33" s="26">
        <v>3</v>
      </c>
      <c r="BL33" s="120" t="s">
        <v>213</v>
      </c>
      <c r="BM33" s="12" t="str">
        <f>CONCATENATE("10.",TEXT(128+BITWISE_AND(BL18,G68)/4,0),".",TEXT(BITWISE_AND(G69,BL18)*64+BK33*8+BITWISE_AND(G71,BL19)/4,0),".",TEXT(BITWISE_AND(G72,BL19)*64+BH24*10+BJ33,0))</f>
        <v>10.128.154.201</v>
      </c>
      <c r="BN33" s="22"/>
      <c r="BP33" s="19"/>
      <c r="BQ33" s="192"/>
      <c r="BR33" s="26" t="s">
        <v>248</v>
      </c>
      <c r="BS33" s="26">
        <v>9</v>
      </c>
      <c r="BT33" s="26">
        <v>3</v>
      </c>
      <c r="BU33" s="120" t="s">
        <v>213</v>
      </c>
      <c r="BV33" s="12" t="str">
        <f>CONCATENATE("10.",TEXT(128+BITWISE_AND(BU18,G68)/4,0),".",TEXT(BITWISE_AND(G69,BU18)*64+BT33*8+BITWISE_AND(G71,BU19)/4,0),".",TEXT(BITWISE_AND(G72,BU19)*64+BQ24*10+BS33,0))</f>
        <v>10.128.155.9</v>
      </c>
      <c r="BW33" s="22"/>
      <c r="BX33" s="35"/>
      <c r="BY33" s="19"/>
      <c r="BZ33" s="192"/>
      <c r="CA33" s="26" t="s">
        <v>248</v>
      </c>
      <c r="CB33" s="26">
        <v>9</v>
      </c>
      <c r="CC33" s="26">
        <v>0</v>
      </c>
      <c r="CD33" s="11" t="s">
        <v>249</v>
      </c>
      <c r="CE33" s="155" t="str">
        <f>CL41</f>
        <v>10.128.191.253</v>
      </c>
      <c r="CF33" s="19"/>
      <c r="CG33" s="193"/>
      <c r="CH33" s="26" t="s">
        <v>248</v>
      </c>
      <c r="CI33" s="26">
        <v>9</v>
      </c>
      <c r="CJ33" s="26">
        <v>0</v>
      </c>
      <c r="CK33" s="11" t="s">
        <v>251</v>
      </c>
      <c r="CL33" s="155" t="str">
        <f>CE41</f>
        <v>10.128.191.251</v>
      </c>
      <c r="CM33" s="22"/>
      <c r="CN33" s="35"/>
      <c r="CO33" s="19"/>
      <c r="CP33" s="192"/>
      <c r="CQ33" s="26" t="s">
        <v>248</v>
      </c>
      <c r="CR33" s="26">
        <v>9</v>
      </c>
      <c r="CS33" s="26">
        <v>3</v>
      </c>
      <c r="CT33" s="120" t="s">
        <v>213</v>
      </c>
      <c r="CU33" s="12" t="str">
        <f>CONCATENATE("10.",TEXT(128+BITWISE_AND(CT18,G68)/4,0),".",TEXT(BITWISE_AND(G69,CT18)*64+CS33*8+BITWISE_AND(G71,CT19)/4,0),".",TEXT(BITWISE_AND(G72,CT19)*64+CP24*10+CR33,0))</f>
        <v>10.128.155.137</v>
      </c>
      <c r="CV33" s="22"/>
      <c r="CX33" s="19"/>
      <c r="CY33" s="192"/>
      <c r="CZ33" s="26" t="s">
        <v>248</v>
      </c>
      <c r="DA33" s="26">
        <v>9</v>
      </c>
      <c r="DB33" s="26">
        <v>3</v>
      </c>
      <c r="DC33" s="120" t="s">
        <v>213</v>
      </c>
      <c r="DD33" s="12" t="str">
        <f>CONCATENATE("10.",TEXT(128+BITWISE_AND(DC18,G68)/4,0),".",TEXT(BITWISE_AND(G69,DC18)*64+DB33*8+BITWISE_AND(G71,DC19)/4,0),".",TEXT(BITWISE_AND(G72,DC19)*64+CY24*10+DA33,0))</f>
        <v>10.128.156.9</v>
      </c>
      <c r="DE33" s="22"/>
      <c r="DG33" s="19"/>
      <c r="DH33" s="192"/>
      <c r="DI33" s="26" t="s">
        <v>248</v>
      </c>
      <c r="DJ33" s="26">
        <v>9</v>
      </c>
      <c r="DK33" s="26">
        <v>3</v>
      </c>
      <c r="DL33" s="120" t="s">
        <v>213</v>
      </c>
      <c r="DM33" s="12" t="str">
        <f>CONCATENATE("10.",TEXT(128+BITWISE_AND(DL18,G68)/4,0),".",TEXT(BITWISE_AND(G69,DL18)*64+DK33*8+BITWISE_AND(G71,DL19)/4,0),".",TEXT(BITWISE_AND(G72,DL19)*64+DH24*10+DJ33,0))</f>
        <v>10.128.156.73</v>
      </c>
      <c r="DN33" s="21"/>
      <c r="DO33" s="192"/>
      <c r="DP33" s="49" t="s">
        <v>248</v>
      </c>
      <c r="DQ33" s="11">
        <v>9</v>
      </c>
      <c r="DR33" s="11">
        <v>7</v>
      </c>
      <c r="DS33" s="60" t="s">
        <v>205</v>
      </c>
      <c r="DT33" s="12" t="str">
        <f>CONCATENATE("10.",TEXT(128+BITWISE_AND(DL18,G68)/4,0),".",TEXT(BITWISE_AND(G69,DL18)*64+DR33*8+BITWISE_AND(G71,DL19)/4,0),".",TEXT(BITWISE_AND(G72,DL19)*64+DO24*10+DQ33,0))</f>
        <v>10.128.188.93</v>
      </c>
      <c r="DU33" s="22"/>
    </row>
    <row r="34" spans="2:125">
      <c r="B34" s="19"/>
      <c r="C34" s="192"/>
      <c r="D34" s="79" t="s">
        <v>252</v>
      </c>
      <c r="E34" s="80" t="s">
        <v>253</v>
      </c>
      <c r="F34" s="80"/>
      <c r="G34" s="85"/>
      <c r="H34" s="86"/>
      <c r="I34" s="87"/>
      <c r="J34" s="192"/>
      <c r="K34" s="88" t="s">
        <v>252</v>
      </c>
      <c r="L34" s="89" t="s">
        <v>253</v>
      </c>
      <c r="M34" s="89"/>
      <c r="N34" s="85" t="s">
        <v>254</v>
      </c>
      <c r="O34" s="81"/>
      <c r="P34" s="21"/>
      <c r="Q34" s="4"/>
      <c r="R34" s="4"/>
      <c r="S34" s="4"/>
      <c r="T34" s="4"/>
      <c r="U34" s="4"/>
      <c r="V34" s="4"/>
      <c r="W34" s="22"/>
      <c r="X34" s="35"/>
      <c r="Y34" s="19"/>
      <c r="Z34" s="192"/>
      <c r="AA34" s="79" t="s">
        <v>252</v>
      </c>
      <c r="AB34" s="80" t="s">
        <v>253</v>
      </c>
      <c r="AC34" s="80"/>
      <c r="AD34" s="85"/>
      <c r="AE34" s="86"/>
      <c r="AF34" s="19"/>
      <c r="AG34" s="4"/>
      <c r="AH34" s="4"/>
      <c r="AI34" s="4"/>
      <c r="AJ34" s="4"/>
      <c r="AK34" s="4"/>
      <c r="AL34" s="4"/>
      <c r="AM34" s="22"/>
      <c r="AN34" s="35"/>
      <c r="AO34" s="19"/>
      <c r="AP34" s="192"/>
      <c r="AQ34" s="79" t="s">
        <v>252</v>
      </c>
      <c r="AR34" s="80" t="s">
        <v>253</v>
      </c>
      <c r="AS34" s="80"/>
      <c r="AT34" s="85" t="s">
        <v>255</v>
      </c>
      <c r="AU34" s="86"/>
      <c r="AV34" s="22"/>
      <c r="AX34" s="19"/>
      <c r="AY34" s="192"/>
      <c r="AZ34" s="79" t="s">
        <v>252</v>
      </c>
      <c r="BA34" s="80" t="s">
        <v>253</v>
      </c>
      <c r="BB34" s="80"/>
      <c r="BC34" s="85" t="s">
        <v>255</v>
      </c>
      <c r="BD34" s="86"/>
      <c r="BE34" s="22"/>
      <c r="BG34" s="19"/>
      <c r="BH34" s="192"/>
      <c r="BI34" s="79" t="s">
        <v>252</v>
      </c>
      <c r="BJ34" s="80" t="s">
        <v>253</v>
      </c>
      <c r="BK34" s="80"/>
      <c r="BL34" s="85" t="s">
        <v>255</v>
      </c>
      <c r="BM34" s="86"/>
      <c r="BN34" s="22"/>
      <c r="BP34" s="19"/>
      <c r="BQ34" s="192"/>
      <c r="BR34" s="79" t="s">
        <v>252</v>
      </c>
      <c r="BS34" s="80" t="s">
        <v>253</v>
      </c>
      <c r="BT34" s="80"/>
      <c r="BU34" s="85" t="s">
        <v>255</v>
      </c>
      <c r="BV34" s="86"/>
      <c r="BW34" s="22"/>
      <c r="BX34" s="35"/>
      <c r="BY34" s="19"/>
      <c r="BZ34" s="192"/>
      <c r="CA34" s="79" t="s">
        <v>252</v>
      </c>
      <c r="CB34" s="80" t="s">
        <v>253</v>
      </c>
      <c r="CC34" s="80"/>
      <c r="CD34" s="85" t="s">
        <v>255</v>
      </c>
      <c r="CE34" s="86"/>
      <c r="CF34" s="19"/>
      <c r="CG34" s="13"/>
      <c r="CH34" s="13"/>
      <c r="CI34" s="13"/>
      <c r="CJ34" s="13"/>
      <c r="CK34" s="13"/>
      <c r="CL34" s="13"/>
      <c r="CM34" s="22"/>
      <c r="CN34" s="35"/>
      <c r="CO34" s="19"/>
      <c r="CP34" s="192"/>
      <c r="CQ34" s="79" t="s">
        <v>252</v>
      </c>
      <c r="CR34" s="80" t="s">
        <v>253</v>
      </c>
      <c r="CS34" s="80"/>
      <c r="CT34" s="85" t="s">
        <v>255</v>
      </c>
      <c r="CU34" s="86"/>
      <c r="CV34" s="22"/>
      <c r="CX34" s="19"/>
      <c r="CY34" s="192"/>
      <c r="CZ34" s="79" t="s">
        <v>252</v>
      </c>
      <c r="DA34" s="80" t="s">
        <v>253</v>
      </c>
      <c r="DB34" s="80"/>
      <c r="DC34" s="85" t="s">
        <v>255</v>
      </c>
      <c r="DD34" s="86"/>
      <c r="DE34" s="22"/>
      <c r="DG34" s="19"/>
      <c r="DH34" s="192"/>
      <c r="DI34" s="79" t="s">
        <v>252</v>
      </c>
      <c r="DJ34" s="80" t="s">
        <v>253</v>
      </c>
      <c r="DK34" s="80"/>
      <c r="DL34" s="85" t="s">
        <v>255</v>
      </c>
      <c r="DM34" s="86"/>
      <c r="DN34" s="21"/>
      <c r="DO34" s="192"/>
      <c r="DP34" s="79" t="s">
        <v>252</v>
      </c>
      <c r="DQ34" s="80" t="s">
        <v>253</v>
      </c>
      <c r="DR34" s="80"/>
      <c r="DS34" s="85" t="s">
        <v>256</v>
      </c>
      <c r="DT34" s="86"/>
      <c r="DU34" s="22"/>
    </row>
    <row r="35" spans="2:125" ht="15.75" thickBot="1">
      <c r="B35" s="19"/>
      <c r="C35" s="192"/>
      <c r="D35" s="82" t="s">
        <v>257</v>
      </c>
      <c r="E35" s="83" t="s">
        <v>253</v>
      </c>
      <c r="F35" s="83"/>
      <c r="G35" s="90" t="s">
        <v>258</v>
      </c>
      <c r="H35" s="91"/>
      <c r="I35" s="87"/>
      <c r="J35" s="192"/>
      <c r="K35" s="92" t="s">
        <v>257</v>
      </c>
      <c r="L35" s="93" t="s">
        <v>253</v>
      </c>
      <c r="M35" s="93"/>
      <c r="N35" s="90"/>
      <c r="O35" s="84"/>
      <c r="P35" s="21"/>
      <c r="Q35" s="4"/>
      <c r="R35" s="4"/>
      <c r="S35" s="4"/>
      <c r="T35" s="4"/>
      <c r="U35" s="4"/>
      <c r="V35" s="4"/>
      <c r="W35" s="22"/>
      <c r="X35" s="35"/>
      <c r="Y35" s="19"/>
      <c r="Z35" s="192"/>
      <c r="AA35" s="82" t="s">
        <v>257</v>
      </c>
      <c r="AB35" s="83" t="s">
        <v>253</v>
      </c>
      <c r="AC35" s="83"/>
      <c r="AD35" s="90" t="s">
        <v>259</v>
      </c>
      <c r="AE35" s="91"/>
      <c r="AF35" s="19"/>
      <c r="AG35" s="4"/>
      <c r="AH35" s="4"/>
      <c r="AI35" s="4"/>
      <c r="AJ35" s="4"/>
      <c r="AK35" s="4"/>
      <c r="AL35" s="4"/>
      <c r="AM35" s="22"/>
      <c r="AN35" s="35"/>
      <c r="AO35" s="19"/>
      <c r="AP35" s="192"/>
      <c r="AQ35" s="82" t="s">
        <v>257</v>
      </c>
      <c r="AR35" s="83" t="s">
        <v>253</v>
      </c>
      <c r="AS35" s="83"/>
      <c r="AT35" s="90" t="s">
        <v>259</v>
      </c>
      <c r="AU35" s="91"/>
      <c r="AV35" s="22"/>
      <c r="AX35" s="19"/>
      <c r="AY35" s="192"/>
      <c r="AZ35" s="82" t="s">
        <v>257</v>
      </c>
      <c r="BA35" s="83" t="s">
        <v>253</v>
      </c>
      <c r="BB35" s="83"/>
      <c r="BC35" s="90" t="s">
        <v>259</v>
      </c>
      <c r="BD35" s="91"/>
      <c r="BE35" s="22"/>
      <c r="BG35" s="19"/>
      <c r="BH35" s="192"/>
      <c r="BI35" s="82" t="s">
        <v>257</v>
      </c>
      <c r="BJ35" s="83" t="s">
        <v>253</v>
      </c>
      <c r="BK35" s="83"/>
      <c r="BL35" s="90" t="s">
        <v>259</v>
      </c>
      <c r="BM35" s="91"/>
      <c r="BN35" s="22"/>
      <c r="BP35" s="19"/>
      <c r="BQ35" s="192"/>
      <c r="BR35" s="82" t="s">
        <v>257</v>
      </c>
      <c r="BS35" s="83" t="s">
        <v>253</v>
      </c>
      <c r="BT35" s="83"/>
      <c r="BU35" s="90" t="s">
        <v>259</v>
      </c>
      <c r="BV35" s="91"/>
      <c r="BW35" s="22"/>
      <c r="BX35" s="35"/>
      <c r="BY35" s="19"/>
      <c r="BZ35" s="192"/>
      <c r="CA35" s="82" t="s">
        <v>257</v>
      </c>
      <c r="CB35" s="83" t="s">
        <v>253</v>
      </c>
      <c r="CC35" s="83"/>
      <c r="CD35" s="90" t="s">
        <v>259</v>
      </c>
      <c r="CE35" s="91"/>
      <c r="CF35" s="19"/>
      <c r="CG35" s="13"/>
      <c r="CH35" s="13"/>
      <c r="CI35" s="13"/>
      <c r="CJ35" s="13"/>
      <c r="CK35" s="13"/>
      <c r="CL35" s="13"/>
      <c r="CM35" s="22"/>
      <c r="CN35" s="35"/>
      <c r="CO35" s="19"/>
      <c r="CP35" s="192"/>
      <c r="CQ35" s="82" t="s">
        <v>257</v>
      </c>
      <c r="CR35" s="83" t="s">
        <v>253</v>
      </c>
      <c r="CS35" s="83"/>
      <c r="CT35" s="90" t="s">
        <v>259</v>
      </c>
      <c r="CU35" s="91"/>
      <c r="CV35" s="22"/>
      <c r="CX35" s="19"/>
      <c r="CY35" s="192"/>
      <c r="CZ35" s="82" t="s">
        <v>257</v>
      </c>
      <c r="DA35" s="83" t="s">
        <v>253</v>
      </c>
      <c r="DB35" s="83"/>
      <c r="DC35" s="90" t="s">
        <v>259</v>
      </c>
      <c r="DD35" s="91"/>
      <c r="DE35" s="22"/>
      <c r="DG35" s="19"/>
      <c r="DH35" s="192"/>
      <c r="DI35" s="82" t="s">
        <v>257</v>
      </c>
      <c r="DJ35" s="83" t="s">
        <v>253</v>
      </c>
      <c r="DK35" s="83"/>
      <c r="DL35" s="90" t="s">
        <v>260</v>
      </c>
      <c r="DM35" s="91"/>
      <c r="DN35" s="21"/>
      <c r="DO35" s="192"/>
      <c r="DP35" s="82" t="s">
        <v>257</v>
      </c>
      <c r="DQ35" s="83" t="s">
        <v>253</v>
      </c>
      <c r="DR35" s="83"/>
      <c r="DS35" s="90"/>
      <c r="DT35" s="91"/>
      <c r="DU35" s="22"/>
    </row>
    <row r="36" spans="2:125">
      <c r="B36" s="19"/>
      <c r="C36" s="192"/>
      <c r="D36" s="79" t="s">
        <v>261</v>
      </c>
      <c r="E36" s="80" t="s">
        <v>253</v>
      </c>
      <c r="F36" s="80"/>
      <c r="G36" s="85" t="s">
        <v>262</v>
      </c>
      <c r="H36" s="86"/>
      <c r="I36" s="87"/>
      <c r="J36" s="192"/>
      <c r="K36" s="79" t="s">
        <v>261</v>
      </c>
      <c r="L36" s="89" t="s">
        <v>253</v>
      </c>
      <c r="M36" s="89"/>
      <c r="N36" s="85" t="s">
        <v>263</v>
      </c>
      <c r="O36" s="81"/>
      <c r="P36" s="21"/>
      <c r="Q36" s="4"/>
      <c r="R36" s="4"/>
      <c r="S36" s="4"/>
      <c r="T36" s="4"/>
      <c r="U36" s="4"/>
      <c r="V36" s="4"/>
      <c r="W36" s="22"/>
      <c r="X36" s="35"/>
      <c r="Y36" s="19"/>
      <c r="Z36" s="192"/>
      <c r="AA36" s="79" t="s">
        <v>261</v>
      </c>
      <c r="AB36" s="80" t="s">
        <v>253</v>
      </c>
      <c r="AC36" s="80"/>
      <c r="AD36" s="85" t="s">
        <v>262</v>
      </c>
      <c r="AE36" s="86"/>
      <c r="AF36" s="19"/>
      <c r="AG36" s="4"/>
      <c r="AH36" s="4"/>
      <c r="AI36" s="4"/>
      <c r="AJ36" s="4"/>
      <c r="AK36" s="4"/>
      <c r="AL36" s="4"/>
      <c r="AM36" s="22"/>
      <c r="AN36" s="35"/>
      <c r="AO36" s="19"/>
      <c r="AP36" s="192"/>
      <c r="AQ36" s="79" t="s">
        <v>261</v>
      </c>
      <c r="AR36" s="80" t="s">
        <v>253</v>
      </c>
      <c r="AS36" s="80"/>
      <c r="AT36" s="85" t="s">
        <v>262</v>
      </c>
      <c r="AU36" s="86"/>
      <c r="AV36" s="22"/>
      <c r="AX36" s="19"/>
      <c r="AY36" s="192"/>
      <c r="AZ36" s="79" t="s">
        <v>261</v>
      </c>
      <c r="BA36" s="80" t="s">
        <v>253</v>
      </c>
      <c r="BB36" s="80"/>
      <c r="BC36" s="85" t="s">
        <v>262</v>
      </c>
      <c r="BD36" s="86"/>
      <c r="BE36" s="22"/>
      <c r="BG36" s="19"/>
      <c r="BH36" s="192"/>
      <c r="BI36" s="79" t="s">
        <v>261</v>
      </c>
      <c r="BJ36" s="80" t="s">
        <v>253</v>
      </c>
      <c r="BK36" s="80"/>
      <c r="BL36" s="85" t="s">
        <v>262</v>
      </c>
      <c r="BM36" s="86"/>
      <c r="BN36" s="22"/>
      <c r="BP36" s="19"/>
      <c r="BQ36" s="192"/>
      <c r="BR36" s="79" t="s">
        <v>261</v>
      </c>
      <c r="BS36" s="80" t="s">
        <v>253</v>
      </c>
      <c r="BT36" s="80"/>
      <c r="BU36" s="85" t="s">
        <v>262</v>
      </c>
      <c r="BV36" s="86"/>
      <c r="BW36" s="22"/>
      <c r="BX36" s="35"/>
      <c r="BY36" s="19"/>
      <c r="BZ36" s="192"/>
      <c r="CA36" s="79" t="s">
        <v>261</v>
      </c>
      <c r="CB36" s="80" t="s">
        <v>253</v>
      </c>
      <c r="CC36" s="80"/>
      <c r="CD36" s="85" t="s">
        <v>262</v>
      </c>
      <c r="CE36" s="86"/>
      <c r="CF36" s="19"/>
      <c r="CG36" s="13"/>
      <c r="CH36" s="13"/>
      <c r="CI36" s="13"/>
      <c r="CJ36" s="13"/>
      <c r="CK36" s="13"/>
      <c r="CL36" s="13"/>
      <c r="CM36" s="22"/>
      <c r="CN36" s="35"/>
      <c r="CO36" s="19"/>
      <c r="CP36" s="192"/>
      <c r="CQ36" s="79" t="s">
        <v>261</v>
      </c>
      <c r="CR36" s="80" t="s">
        <v>253</v>
      </c>
      <c r="CS36" s="80"/>
      <c r="CT36" s="85" t="s">
        <v>262</v>
      </c>
      <c r="CU36" s="86"/>
      <c r="CV36" s="22"/>
      <c r="CX36" s="19"/>
      <c r="CY36" s="192"/>
      <c r="CZ36" s="79" t="s">
        <v>261</v>
      </c>
      <c r="DA36" s="80" t="s">
        <v>253</v>
      </c>
      <c r="DB36" s="80"/>
      <c r="DC36" s="85" t="s">
        <v>262</v>
      </c>
      <c r="DD36" s="86"/>
      <c r="DE36" s="22"/>
      <c r="DG36" s="19"/>
      <c r="DH36" s="192"/>
      <c r="DI36" s="79" t="s">
        <v>261</v>
      </c>
      <c r="DJ36" s="80" t="s">
        <v>253</v>
      </c>
      <c r="DK36" s="80"/>
      <c r="DL36" s="85" t="s">
        <v>262</v>
      </c>
      <c r="DM36" s="86"/>
      <c r="DN36" s="21"/>
      <c r="DO36" s="192"/>
      <c r="DP36" s="79" t="s">
        <v>261</v>
      </c>
      <c r="DQ36" s="80" t="s">
        <v>253</v>
      </c>
      <c r="DR36" s="80"/>
      <c r="DS36" s="85" t="s">
        <v>263</v>
      </c>
      <c r="DT36" s="86"/>
      <c r="DU36" s="22"/>
    </row>
    <row r="37" spans="2:125" ht="15.75" thickBot="1">
      <c r="B37" s="19"/>
      <c r="C37" s="193"/>
      <c r="D37" s="82" t="s">
        <v>264</v>
      </c>
      <c r="E37" s="83" t="s">
        <v>253</v>
      </c>
      <c r="F37" s="83"/>
      <c r="G37" s="90" t="s">
        <v>265</v>
      </c>
      <c r="H37" s="91"/>
      <c r="I37" s="87"/>
      <c r="J37" s="193"/>
      <c r="K37" s="82" t="s">
        <v>264</v>
      </c>
      <c r="L37" s="93" t="s">
        <v>253</v>
      </c>
      <c r="M37" s="93"/>
      <c r="N37" s="90" t="s">
        <v>266</v>
      </c>
      <c r="O37" s="84"/>
      <c r="P37" s="21"/>
      <c r="Q37" s="4"/>
      <c r="R37" s="4"/>
      <c r="S37" s="4"/>
      <c r="T37" s="4"/>
      <c r="U37" s="4"/>
      <c r="V37" s="4"/>
      <c r="W37" s="22"/>
      <c r="X37" s="35"/>
      <c r="Y37" s="19"/>
      <c r="Z37" s="193"/>
      <c r="AA37" s="82" t="s">
        <v>264</v>
      </c>
      <c r="AB37" s="83" t="s">
        <v>253</v>
      </c>
      <c r="AC37" s="83"/>
      <c r="AD37" s="90" t="s">
        <v>265</v>
      </c>
      <c r="AE37" s="91"/>
      <c r="AF37" s="19"/>
      <c r="AG37" s="4"/>
      <c r="AH37" s="4"/>
      <c r="AI37" s="4"/>
      <c r="AJ37" s="4"/>
      <c r="AK37" s="4"/>
      <c r="AL37" s="4"/>
      <c r="AM37" s="22"/>
      <c r="AN37" s="35"/>
      <c r="AO37" s="19"/>
      <c r="AP37" s="193"/>
      <c r="AQ37" s="82" t="s">
        <v>264</v>
      </c>
      <c r="AR37" s="83" t="s">
        <v>253</v>
      </c>
      <c r="AS37" s="83"/>
      <c r="AT37" s="90" t="s">
        <v>265</v>
      </c>
      <c r="AU37" s="91"/>
      <c r="AV37" s="22"/>
      <c r="AX37" s="19"/>
      <c r="AY37" s="193"/>
      <c r="AZ37" s="82" t="s">
        <v>264</v>
      </c>
      <c r="BA37" s="83" t="s">
        <v>253</v>
      </c>
      <c r="BB37" s="83"/>
      <c r="BC37" s="90" t="s">
        <v>265</v>
      </c>
      <c r="BD37" s="91"/>
      <c r="BE37" s="22"/>
      <c r="BG37" s="19"/>
      <c r="BH37" s="193"/>
      <c r="BI37" s="82" t="s">
        <v>264</v>
      </c>
      <c r="BJ37" s="83" t="s">
        <v>253</v>
      </c>
      <c r="BK37" s="83"/>
      <c r="BL37" s="90" t="s">
        <v>265</v>
      </c>
      <c r="BM37" s="91"/>
      <c r="BN37" s="22"/>
      <c r="BP37" s="19"/>
      <c r="BQ37" s="193"/>
      <c r="BR37" s="82" t="s">
        <v>264</v>
      </c>
      <c r="BS37" s="83" t="s">
        <v>253</v>
      </c>
      <c r="BT37" s="83"/>
      <c r="BU37" s="90" t="s">
        <v>265</v>
      </c>
      <c r="BV37" s="91"/>
      <c r="BW37" s="22"/>
      <c r="BX37" s="35"/>
      <c r="BY37" s="19"/>
      <c r="BZ37" s="193"/>
      <c r="CA37" s="82" t="s">
        <v>264</v>
      </c>
      <c r="CB37" s="83" t="s">
        <v>253</v>
      </c>
      <c r="CC37" s="83"/>
      <c r="CD37" s="90" t="s">
        <v>265</v>
      </c>
      <c r="CE37" s="91"/>
      <c r="CF37" s="19"/>
      <c r="CG37" s="13"/>
      <c r="CH37" s="13"/>
      <c r="CI37" s="13"/>
      <c r="CJ37" s="13"/>
      <c r="CK37" s="13"/>
      <c r="CL37" s="13"/>
      <c r="CM37" s="22"/>
      <c r="CN37" s="35"/>
      <c r="CO37" s="19"/>
      <c r="CP37" s="193"/>
      <c r="CQ37" s="82" t="s">
        <v>264</v>
      </c>
      <c r="CR37" s="83" t="s">
        <v>253</v>
      </c>
      <c r="CS37" s="83"/>
      <c r="CT37" s="90" t="s">
        <v>265</v>
      </c>
      <c r="CU37" s="91"/>
      <c r="CV37" s="22"/>
      <c r="CX37" s="19"/>
      <c r="CY37" s="193"/>
      <c r="CZ37" s="82" t="s">
        <v>264</v>
      </c>
      <c r="DA37" s="83" t="s">
        <v>253</v>
      </c>
      <c r="DB37" s="83"/>
      <c r="DC37" s="90" t="s">
        <v>265</v>
      </c>
      <c r="DD37" s="91"/>
      <c r="DE37" s="22"/>
      <c r="DG37" s="19"/>
      <c r="DH37" s="193"/>
      <c r="DI37" s="82" t="s">
        <v>264</v>
      </c>
      <c r="DJ37" s="83" t="s">
        <v>253</v>
      </c>
      <c r="DK37" s="83"/>
      <c r="DL37" s="90" t="s">
        <v>265</v>
      </c>
      <c r="DM37" s="91"/>
      <c r="DN37" s="21"/>
      <c r="DO37" s="193"/>
      <c r="DP37" s="82" t="s">
        <v>264</v>
      </c>
      <c r="DQ37" s="83" t="s">
        <v>253</v>
      </c>
      <c r="DR37" s="83"/>
      <c r="DS37" s="90" t="s">
        <v>266</v>
      </c>
      <c r="DT37" s="91"/>
      <c r="DU37" s="22"/>
    </row>
    <row r="38" spans="2:125">
      <c r="B38" s="14"/>
      <c r="C38" s="13"/>
      <c r="D38" s="13"/>
      <c r="E38" s="13"/>
      <c r="F38" s="13"/>
      <c r="G38" s="13"/>
      <c r="H38" s="13"/>
      <c r="I38" s="4"/>
      <c r="J38" s="13"/>
      <c r="K38" s="13"/>
      <c r="L38" s="13"/>
      <c r="M38" s="13"/>
      <c r="N38" s="13"/>
      <c r="O38" s="13"/>
      <c r="P38" s="4"/>
      <c r="Q38" s="13"/>
      <c r="R38" s="13"/>
      <c r="S38" s="13"/>
      <c r="T38" s="13"/>
      <c r="U38" s="13"/>
      <c r="V38" s="13"/>
      <c r="W38" s="15"/>
      <c r="X38" s="35"/>
      <c r="Y38" s="14"/>
      <c r="Z38" s="13"/>
      <c r="AA38" s="13"/>
      <c r="AB38" s="13"/>
      <c r="AC38" s="13"/>
      <c r="AD38" s="13"/>
      <c r="AE38" s="13"/>
      <c r="AF38" s="14"/>
      <c r="AG38" s="13"/>
      <c r="AH38" s="13"/>
      <c r="AI38" s="13"/>
      <c r="AJ38" s="13"/>
      <c r="AK38" s="13"/>
      <c r="AL38" s="13"/>
      <c r="AM38" s="15"/>
      <c r="AN38" s="35"/>
      <c r="AO38" s="14"/>
      <c r="AP38" s="13"/>
      <c r="AQ38" s="13"/>
      <c r="AR38" s="13"/>
      <c r="AS38" s="13"/>
      <c r="AT38" s="13"/>
      <c r="AU38" s="13"/>
      <c r="AV38" s="15"/>
      <c r="AX38" s="14"/>
      <c r="AY38" s="13"/>
      <c r="AZ38" s="13"/>
      <c r="BA38" s="13"/>
      <c r="BB38" s="13"/>
      <c r="BC38" s="13"/>
      <c r="BD38" s="13"/>
      <c r="BE38" s="15"/>
      <c r="BG38" s="14"/>
      <c r="BH38" s="13"/>
      <c r="BI38" s="13"/>
      <c r="BJ38" s="13"/>
      <c r="BK38" s="13"/>
      <c r="BL38" s="13"/>
      <c r="BM38" s="13"/>
      <c r="BN38" s="15"/>
      <c r="BP38" s="14"/>
      <c r="BQ38" s="13"/>
      <c r="BR38" s="13"/>
      <c r="BS38" s="13"/>
      <c r="BT38" s="13"/>
      <c r="BU38" s="13"/>
      <c r="BV38" s="13"/>
      <c r="BW38" s="15"/>
      <c r="BX38" s="35"/>
      <c r="BY38" s="14"/>
      <c r="BZ38" s="13"/>
      <c r="CA38" s="13"/>
      <c r="CB38" s="13"/>
      <c r="CC38" s="13"/>
      <c r="CD38" s="13"/>
      <c r="CE38" s="13"/>
      <c r="CF38" s="14"/>
      <c r="CG38" s="13"/>
      <c r="CH38" s="13"/>
      <c r="CI38" s="13"/>
      <c r="CJ38" s="13"/>
      <c r="CK38" s="13"/>
      <c r="CL38" s="13"/>
      <c r="CM38" s="15"/>
      <c r="CN38" s="35"/>
      <c r="CO38" s="14"/>
      <c r="CP38" s="13"/>
      <c r="CQ38" s="13"/>
      <c r="CR38" s="13"/>
      <c r="CS38" s="13"/>
      <c r="CT38" s="13"/>
      <c r="CU38" s="13"/>
      <c r="CV38" s="15"/>
      <c r="CX38" s="14"/>
      <c r="CY38" s="13"/>
      <c r="CZ38" s="13"/>
      <c r="DA38" s="13"/>
      <c r="DB38" s="13"/>
      <c r="DC38" s="13"/>
      <c r="DD38" s="13"/>
      <c r="DE38" s="15"/>
      <c r="DG38" s="14"/>
      <c r="DH38" s="13"/>
      <c r="DI38" s="13"/>
      <c r="DJ38" s="13"/>
      <c r="DK38" s="13"/>
      <c r="DL38" s="13"/>
      <c r="DM38" s="13"/>
      <c r="DN38" s="4"/>
      <c r="DO38" s="13"/>
      <c r="DP38" s="13"/>
      <c r="DQ38" s="13"/>
      <c r="DR38" s="13"/>
      <c r="DS38" s="13"/>
      <c r="DT38" s="13"/>
      <c r="DU38" s="15"/>
    </row>
    <row r="39" spans="2:125" ht="15.75" thickBot="1">
      <c r="B39" s="14"/>
      <c r="C39" s="23"/>
      <c r="D39" s="23"/>
      <c r="E39" s="23"/>
      <c r="F39" s="23"/>
      <c r="G39" s="23"/>
      <c r="H39" s="23"/>
      <c r="I39" s="4"/>
      <c r="J39" s="23"/>
      <c r="K39" s="23"/>
      <c r="L39" s="23"/>
      <c r="M39" s="23"/>
      <c r="N39" s="23"/>
      <c r="O39" s="23"/>
      <c r="P39" s="4"/>
      <c r="Q39" s="23"/>
      <c r="R39" s="23"/>
      <c r="S39" s="23"/>
      <c r="T39" s="23"/>
      <c r="U39" s="23"/>
      <c r="V39" s="23"/>
      <c r="W39" s="15"/>
      <c r="X39" s="35"/>
      <c r="Y39" s="14"/>
      <c r="Z39" s="23"/>
      <c r="AA39" s="23"/>
      <c r="AB39" s="23"/>
      <c r="AC39" s="23"/>
      <c r="AD39" s="23"/>
      <c r="AE39" s="23"/>
      <c r="AF39" s="14"/>
      <c r="AG39" s="4"/>
      <c r="AH39" s="4"/>
      <c r="AI39" s="4"/>
      <c r="AJ39" s="4"/>
      <c r="AK39" s="4"/>
      <c r="AL39" s="4"/>
      <c r="AM39" s="15"/>
      <c r="AN39" s="35"/>
      <c r="AO39" s="14"/>
      <c r="AP39" s="23"/>
      <c r="AQ39" s="23"/>
      <c r="AR39" s="23"/>
      <c r="AS39" s="23"/>
      <c r="AT39" s="23"/>
      <c r="AU39" s="23"/>
      <c r="AV39" s="15"/>
      <c r="AX39" s="14"/>
      <c r="AY39" s="23"/>
      <c r="AZ39" s="23"/>
      <c r="BA39" s="23"/>
      <c r="BB39" s="23"/>
      <c r="BC39" s="23"/>
      <c r="BD39" s="23"/>
      <c r="BE39" s="15"/>
      <c r="BG39" s="14"/>
      <c r="BH39" s="23"/>
      <c r="BI39" s="23"/>
      <c r="BJ39" s="23"/>
      <c r="BK39" s="23"/>
      <c r="BL39" s="23"/>
      <c r="BM39" s="23"/>
      <c r="BN39" s="15"/>
      <c r="BP39" s="14"/>
      <c r="BQ39" s="23"/>
      <c r="BR39" s="23"/>
      <c r="BS39" s="23"/>
      <c r="BT39" s="23"/>
      <c r="BU39" s="23"/>
      <c r="BV39" s="23"/>
      <c r="BW39" s="15"/>
      <c r="BX39" s="35"/>
      <c r="BY39" s="14"/>
      <c r="BZ39" s="23"/>
      <c r="CA39" s="23"/>
      <c r="CB39" s="23"/>
      <c r="CC39" s="23"/>
      <c r="CD39" s="23"/>
      <c r="CE39" s="23"/>
      <c r="CF39" s="14"/>
      <c r="CG39" s="23"/>
      <c r="CH39" s="23"/>
      <c r="CI39" s="23"/>
      <c r="CJ39" s="23"/>
      <c r="CK39" s="23"/>
      <c r="CL39" s="23"/>
      <c r="CM39" s="15"/>
      <c r="CN39" s="35"/>
      <c r="CO39" s="14"/>
      <c r="CP39" s="23"/>
      <c r="CQ39" s="23"/>
      <c r="CR39" s="23"/>
      <c r="CS39" s="23"/>
      <c r="CT39" s="23"/>
      <c r="CU39" s="23"/>
      <c r="CV39" s="15"/>
      <c r="CX39" s="14"/>
      <c r="CY39" s="23"/>
      <c r="CZ39" s="23"/>
      <c r="DA39" s="23"/>
      <c r="DB39" s="23"/>
      <c r="DC39" s="23"/>
      <c r="DD39" s="23"/>
      <c r="DE39" s="15"/>
      <c r="DG39" s="14"/>
      <c r="DH39" s="23"/>
      <c r="DI39" s="23"/>
      <c r="DJ39" s="23"/>
      <c r="DK39" s="23"/>
      <c r="DL39" s="23"/>
      <c r="DM39" s="23"/>
      <c r="DN39" s="4"/>
      <c r="DO39" s="23"/>
      <c r="DP39" s="23"/>
      <c r="DQ39" s="23"/>
      <c r="DR39" s="23"/>
      <c r="DS39" s="23"/>
      <c r="DT39" s="23"/>
      <c r="DU39" s="15"/>
    </row>
    <row r="40" spans="2:125" ht="15.75" thickBot="1">
      <c r="B40" s="19"/>
      <c r="C40" s="122" t="s">
        <v>175</v>
      </c>
      <c r="D40" s="123" t="s">
        <v>144</v>
      </c>
      <c r="E40" s="123" t="s">
        <v>176</v>
      </c>
      <c r="F40" s="123" t="s">
        <v>129</v>
      </c>
      <c r="G40" s="123" t="s">
        <v>140</v>
      </c>
      <c r="H40" s="124" t="s">
        <v>177</v>
      </c>
      <c r="I40" s="21"/>
      <c r="J40" s="122" t="s">
        <v>175</v>
      </c>
      <c r="K40" s="123" t="s">
        <v>144</v>
      </c>
      <c r="L40" s="123" t="s">
        <v>176</v>
      </c>
      <c r="M40" s="123" t="s">
        <v>129</v>
      </c>
      <c r="N40" s="123" t="s">
        <v>140</v>
      </c>
      <c r="O40" s="124" t="s">
        <v>177</v>
      </c>
      <c r="P40" s="21"/>
      <c r="Q40" s="122" t="s">
        <v>175</v>
      </c>
      <c r="R40" s="123" t="s">
        <v>144</v>
      </c>
      <c r="S40" s="123" t="s">
        <v>176</v>
      </c>
      <c r="T40" s="123" t="s">
        <v>129</v>
      </c>
      <c r="U40" s="123" t="s">
        <v>140</v>
      </c>
      <c r="V40" s="124" t="s">
        <v>177</v>
      </c>
      <c r="W40" s="22"/>
      <c r="X40" s="35"/>
      <c r="Y40" s="19"/>
      <c r="Z40" s="122" t="s">
        <v>175</v>
      </c>
      <c r="AA40" s="123" t="s">
        <v>144</v>
      </c>
      <c r="AB40" s="123" t="s">
        <v>176</v>
      </c>
      <c r="AC40" s="123" t="s">
        <v>129</v>
      </c>
      <c r="AD40" s="123" t="s">
        <v>140</v>
      </c>
      <c r="AE40" s="124" t="s">
        <v>177</v>
      </c>
      <c r="AF40" s="19"/>
      <c r="AG40" s="4"/>
      <c r="AH40" s="4"/>
      <c r="AI40" s="4"/>
      <c r="AJ40" s="4"/>
      <c r="AK40" s="4"/>
      <c r="AL40" s="4"/>
      <c r="AM40" s="22"/>
      <c r="AN40" s="35"/>
      <c r="AO40" s="19"/>
      <c r="AP40" s="122" t="s">
        <v>175</v>
      </c>
      <c r="AQ40" s="123" t="s">
        <v>144</v>
      </c>
      <c r="AR40" s="123" t="s">
        <v>176</v>
      </c>
      <c r="AS40" s="123" t="s">
        <v>129</v>
      </c>
      <c r="AT40" s="123" t="s">
        <v>140</v>
      </c>
      <c r="AU40" s="124" t="s">
        <v>177</v>
      </c>
      <c r="AV40" s="22"/>
      <c r="AX40" s="19"/>
      <c r="AY40" s="122" t="s">
        <v>175</v>
      </c>
      <c r="AZ40" s="123" t="s">
        <v>144</v>
      </c>
      <c r="BA40" s="123" t="s">
        <v>176</v>
      </c>
      <c r="BB40" s="123" t="s">
        <v>129</v>
      </c>
      <c r="BC40" s="123" t="s">
        <v>140</v>
      </c>
      <c r="BD40" s="124" t="s">
        <v>177</v>
      </c>
      <c r="BE40" s="22"/>
      <c r="BG40" s="19"/>
      <c r="BH40" s="122" t="s">
        <v>175</v>
      </c>
      <c r="BI40" s="123" t="s">
        <v>144</v>
      </c>
      <c r="BJ40" s="123" t="s">
        <v>176</v>
      </c>
      <c r="BK40" s="123" t="s">
        <v>129</v>
      </c>
      <c r="BL40" s="123" t="s">
        <v>140</v>
      </c>
      <c r="BM40" s="124" t="s">
        <v>177</v>
      </c>
      <c r="BN40" s="22"/>
      <c r="BP40" s="19"/>
      <c r="BQ40" s="122" t="s">
        <v>175</v>
      </c>
      <c r="BR40" s="123" t="s">
        <v>144</v>
      </c>
      <c r="BS40" s="123" t="s">
        <v>176</v>
      </c>
      <c r="BT40" s="123" t="s">
        <v>129</v>
      </c>
      <c r="BU40" s="123" t="s">
        <v>140</v>
      </c>
      <c r="BV40" s="124" t="s">
        <v>177</v>
      </c>
      <c r="BW40" s="22"/>
      <c r="BX40" s="35"/>
      <c r="BY40" s="19"/>
      <c r="BZ40" s="122" t="s">
        <v>175</v>
      </c>
      <c r="CA40" s="123" t="s">
        <v>144</v>
      </c>
      <c r="CB40" s="123" t="s">
        <v>176</v>
      </c>
      <c r="CC40" s="123" t="s">
        <v>129</v>
      </c>
      <c r="CD40" s="123" t="s">
        <v>140</v>
      </c>
      <c r="CE40" s="124" t="s">
        <v>177</v>
      </c>
      <c r="CF40" s="19"/>
      <c r="CG40" s="122" t="s">
        <v>175</v>
      </c>
      <c r="CH40" s="123" t="s">
        <v>144</v>
      </c>
      <c r="CI40" s="123" t="s">
        <v>176</v>
      </c>
      <c r="CJ40" s="123" t="s">
        <v>129</v>
      </c>
      <c r="CK40" s="123" t="s">
        <v>140</v>
      </c>
      <c r="CL40" s="124" t="s">
        <v>177</v>
      </c>
      <c r="CM40" s="22"/>
      <c r="CN40" s="35"/>
      <c r="CO40" s="19"/>
      <c r="CP40" s="122" t="s">
        <v>175</v>
      </c>
      <c r="CQ40" s="123" t="s">
        <v>144</v>
      </c>
      <c r="CR40" s="123" t="s">
        <v>176</v>
      </c>
      <c r="CS40" s="123" t="s">
        <v>129</v>
      </c>
      <c r="CT40" s="123" t="s">
        <v>140</v>
      </c>
      <c r="CU40" s="124" t="s">
        <v>177</v>
      </c>
      <c r="CV40" s="22"/>
      <c r="CX40" s="19"/>
      <c r="CY40" s="122" t="s">
        <v>175</v>
      </c>
      <c r="CZ40" s="123" t="s">
        <v>144</v>
      </c>
      <c r="DA40" s="123" t="s">
        <v>176</v>
      </c>
      <c r="DB40" s="123" t="s">
        <v>129</v>
      </c>
      <c r="DC40" s="123" t="s">
        <v>140</v>
      </c>
      <c r="DD40" s="124" t="s">
        <v>177</v>
      </c>
      <c r="DE40" s="22"/>
      <c r="DG40" s="19"/>
      <c r="DH40" s="122" t="s">
        <v>175</v>
      </c>
      <c r="DI40" s="123" t="s">
        <v>144</v>
      </c>
      <c r="DJ40" s="123" t="s">
        <v>176</v>
      </c>
      <c r="DK40" s="123" t="s">
        <v>129</v>
      </c>
      <c r="DL40" s="123" t="s">
        <v>140</v>
      </c>
      <c r="DM40" s="124" t="s">
        <v>177</v>
      </c>
      <c r="DN40" s="21"/>
      <c r="DO40" s="122" t="s">
        <v>175</v>
      </c>
      <c r="DP40" s="123" t="s">
        <v>144</v>
      </c>
      <c r="DQ40" s="123" t="s">
        <v>176</v>
      </c>
      <c r="DR40" s="123" t="s">
        <v>129</v>
      </c>
      <c r="DS40" s="123" t="s">
        <v>140</v>
      </c>
      <c r="DT40" s="124" t="s">
        <v>177</v>
      </c>
      <c r="DU40" s="22"/>
    </row>
    <row r="41" spans="2:125" ht="14.45" customHeight="1" thickBot="1">
      <c r="B41" s="19"/>
      <c r="C41" s="194" t="s">
        <v>178</v>
      </c>
      <c r="D41" s="195"/>
      <c r="E41" s="195"/>
      <c r="F41" s="195"/>
      <c r="G41" s="196"/>
      <c r="H41" s="162" t="str">
        <f>CONCATENATE("10.",TEXT(128+BITWISE_AND(G18,G68)/4,0),".",TEXT((BITWISE_AND(G69,G18)*64+BITWISE_AND(G71,31)/4)+7*8,0),".",TEXT(249,0))</f>
        <v>10.128.127.249</v>
      </c>
      <c r="I41" s="21"/>
      <c r="J41" s="194" t="s">
        <v>178</v>
      </c>
      <c r="K41" s="195"/>
      <c r="L41" s="195"/>
      <c r="M41" s="195"/>
      <c r="N41" s="196"/>
      <c r="O41" s="162" t="str">
        <f>CONCATENATE("10.",TEXT(128+BITWISE_AND(G18,G68)/4,0),".",TEXT((BITWISE_AND(G69,G18)*64+BITWISE_AND(G71,31)/4)+7*8,0),".",TEXT(251,0))</f>
        <v>10.128.127.251</v>
      </c>
      <c r="P41" s="21"/>
      <c r="Q41" s="194" t="s">
        <v>178</v>
      </c>
      <c r="R41" s="195"/>
      <c r="S41" s="195"/>
      <c r="T41" s="195"/>
      <c r="U41" s="196"/>
      <c r="V41" s="162" t="str">
        <f>CONCATENATE("10.",TEXT(128+BITWISE_AND(G18,G68)/4,0),".",TEXT((BITWISE_AND(G69,G18)*64+BITWISE_AND(G71,31)/4)+7*8,0),".",TEXT(253,0))</f>
        <v>10.128.127.253</v>
      </c>
      <c r="W41" s="22"/>
      <c r="X41" s="35"/>
      <c r="Y41" s="19"/>
      <c r="Z41" s="194" t="s">
        <v>178</v>
      </c>
      <c r="AA41" s="195"/>
      <c r="AB41" s="195"/>
      <c r="AC41" s="195"/>
      <c r="AD41" s="196"/>
      <c r="AE41" s="162" t="str">
        <f>CONCATENATE("10.",TEXT(128+BITWISE_AND(AD18,G68)/4,0),".",TEXT((BITWISE_AND(G69,AD18)*64+BITWISE_AND(G71,31)/4)+7*8,0),".",TEXT(249,0))</f>
        <v>10.128.63.249</v>
      </c>
      <c r="AF41" s="19"/>
      <c r="AG41" s="4"/>
      <c r="AH41" s="4"/>
      <c r="AI41" s="4"/>
      <c r="AJ41" s="4"/>
      <c r="AK41" s="4"/>
      <c r="AL41" s="4"/>
      <c r="AM41" s="22"/>
      <c r="AN41" s="35"/>
      <c r="AO41" s="19"/>
      <c r="AP41" s="194" t="s">
        <v>178</v>
      </c>
      <c r="AQ41" s="195"/>
      <c r="AR41" s="195"/>
      <c r="AS41" s="195"/>
      <c r="AT41" s="196"/>
      <c r="AU41" s="121" t="str">
        <f>CONCATENATE("10.",TEXT(128+BITWISE_AND(AT18,G68)/4,0),".",TEXT((BITWISE_AND(G69,AT18)*64+BITWISE_AND(G71,AT19)/4)+7*8,0),".",TEXT(BITWISE_AND(G72,AT19)*64+AP42+41,0))</f>
        <v>10.128.184.170</v>
      </c>
      <c r="AV41" s="22"/>
      <c r="AX41" s="19"/>
      <c r="AY41" s="194" t="s">
        <v>178</v>
      </c>
      <c r="AZ41" s="195"/>
      <c r="BA41" s="195"/>
      <c r="BB41" s="195"/>
      <c r="BC41" s="196"/>
      <c r="BD41" s="121" t="str">
        <f>CONCATENATE("10.",TEXT(128+BITWISE_AND(BC18,G68)/4,0),".",TEXT((BITWISE_AND(G69,BC18)*64+BITWISE_AND(G71,BC19)/4)+7*8,0),".",TEXT(BITWISE_AND(G72,BC19)*64+AY42+41,0))</f>
        <v>10.128.186.106</v>
      </c>
      <c r="BE41" s="22"/>
      <c r="BG41" s="19"/>
      <c r="BH41" s="194" t="s">
        <v>178</v>
      </c>
      <c r="BI41" s="195"/>
      <c r="BJ41" s="195"/>
      <c r="BK41" s="195"/>
      <c r="BL41" s="196"/>
      <c r="BM41" s="121" t="str">
        <f>CONCATENATE("10.",TEXT(128+BITWISE_AND(BL18,G68)/4,0),".",TEXT((BITWISE_AND(G69,BL18)*64+BITWISE_AND(G71,BL19)/4)+7*8,0),".",TEXT(BITWISE_AND(G72,BL19)*64+BH42+41,0))</f>
        <v>10.128.186.234</v>
      </c>
      <c r="BN41" s="22"/>
      <c r="BP41" s="19"/>
      <c r="BQ41" s="194" t="s">
        <v>178</v>
      </c>
      <c r="BR41" s="195"/>
      <c r="BS41" s="195"/>
      <c r="BT41" s="195"/>
      <c r="BU41" s="196"/>
      <c r="BV41" s="121" t="str">
        <f>CONCATENATE("10.",TEXT(128+BITWISE_AND(BU18,G68)/4,0),".",TEXT((BITWISE_AND(G69,BU18)*64+BITWISE_AND(G71,BU19)/4)+7*8,0),".",TEXT(BITWISE_AND(G72,BU19)*64+BQ42+41,0))</f>
        <v>10.128.187.42</v>
      </c>
      <c r="BW41" s="22"/>
      <c r="BX41" s="35"/>
      <c r="BY41" s="19"/>
      <c r="BZ41" s="194" t="s">
        <v>178</v>
      </c>
      <c r="CA41" s="195"/>
      <c r="CB41" s="195"/>
      <c r="CC41" s="195"/>
      <c r="CD41" s="196"/>
      <c r="CE41" s="162" t="str">
        <f>CONCATENATE("10.",TEXT(128+BITWISE_AND(CD18,G68)/4,0),".",TEXT((BITWISE_AND(G69,CD18)*64+BITWISE_AND(G71,31)/4)+7*8,0),".",TEXT(251,0))</f>
        <v>10.128.191.251</v>
      </c>
      <c r="CF41" s="19"/>
      <c r="CG41" s="194" t="s">
        <v>178</v>
      </c>
      <c r="CH41" s="195"/>
      <c r="CI41" s="195"/>
      <c r="CJ41" s="195"/>
      <c r="CK41" s="196"/>
      <c r="CL41" s="162" t="str">
        <f>CONCATENATE("10.",TEXT(128+BITWISE_AND(CD18,G68)/4,0),".",TEXT((BITWISE_AND(G69,CD18)*64+BITWISE_AND(G71,31)/4)+7*8,0),".",TEXT(253,0))</f>
        <v>10.128.191.253</v>
      </c>
      <c r="CM41" s="22"/>
      <c r="CN41" s="35"/>
      <c r="CO41" s="19"/>
      <c r="CP41" s="194" t="s">
        <v>178</v>
      </c>
      <c r="CQ41" s="195"/>
      <c r="CR41" s="195"/>
      <c r="CS41" s="195"/>
      <c r="CT41" s="196"/>
      <c r="CU41" s="121" t="str">
        <f>CONCATENATE("10.",TEXT(128+BITWISE_AND(CT18,G68)/4,0),".",TEXT((BITWISE_AND(G69,CT18)*64+BITWISE_AND(G71,CT19)/4)+7*8,0),".",TEXT(BITWISE_AND(G72,CT19)*64+CP42+41,0))</f>
        <v>10.128.187.170</v>
      </c>
      <c r="CV41" s="22"/>
      <c r="CX41" s="19"/>
      <c r="CY41" s="194" t="s">
        <v>178</v>
      </c>
      <c r="CZ41" s="195"/>
      <c r="DA41" s="195"/>
      <c r="DB41" s="195"/>
      <c r="DC41" s="196"/>
      <c r="DD41" s="121" t="str">
        <f>CONCATENATE("10.",TEXT(128+BITWISE_AND(DC18,G68)/4,0),".",TEXT((BITWISE_AND(G69,DC18)*64+BITWISE_AND(G71,DC19)/4)+7*8,0),".",TEXT(BITWISE_AND(G72,DC19)*64+CY42+41,0))</f>
        <v>10.128.188.42</v>
      </c>
      <c r="DE41" s="22"/>
      <c r="DG41" s="19"/>
      <c r="DH41" s="194" t="s">
        <v>178</v>
      </c>
      <c r="DI41" s="195"/>
      <c r="DJ41" s="195"/>
      <c r="DK41" s="195"/>
      <c r="DL41" s="196"/>
      <c r="DM41" s="121" t="str">
        <f>CONCATENATE("10.",TEXT(128+BITWISE_AND(DL18,G68)/4,0),".",TEXT((BITWISE_AND(G69,DL18)*64+BITWISE_AND(G71,DL19)/4)+7*8,0),".",TEXT(BITWISE_AND(G72,DL19)*64+DH42+41,0))</f>
        <v>10.128.188.106</v>
      </c>
      <c r="DN41" s="21"/>
      <c r="DO41" s="194" t="s">
        <v>178</v>
      </c>
      <c r="DP41" s="195"/>
      <c r="DQ41" s="195"/>
      <c r="DR41" s="195"/>
      <c r="DS41" s="196"/>
      <c r="DT41" s="121" t="str">
        <f>CONCATENATE("10.",TEXT(128+BITWISE_AND(DL18,G68)/4,0),".",TEXT((BITWISE_AND(G69,DL18)*64+BITWISE_AND(G71,DL19)/4)+7*8,0),".",TEXT(BITWISE_AND(G72,DL19)*64+DO42+41,0))</f>
        <v>10.128.188.108</v>
      </c>
      <c r="DU41" s="22"/>
    </row>
    <row r="42" spans="2:125" ht="14.45" customHeight="1" thickBot="1">
      <c r="B42" s="19"/>
      <c r="C42" s="44">
        <v>1</v>
      </c>
      <c r="D42" s="37" t="s">
        <v>179</v>
      </c>
      <c r="E42" s="43">
        <v>0</v>
      </c>
      <c r="F42" s="43">
        <v>1</v>
      </c>
      <c r="G42" s="38" t="s">
        <v>268</v>
      </c>
      <c r="H42" s="39" t="str">
        <f>CONCATENATE("10.",TEXT(128+BITWISE_AND(G18,G68)/4,0),".",TEXT(BITWISE_AND(G69,G18)*64+F42*8+BITWISE_AND(G71,G19)/4,0),".",TEXT(BITWISE_AND(G72,G19)*64+C42*10+E42,0))</f>
        <v>10.128.72.74</v>
      </c>
      <c r="I42" s="21"/>
      <c r="J42" s="44">
        <v>3</v>
      </c>
      <c r="K42" s="27" t="s">
        <v>179</v>
      </c>
      <c r="L42" s="27">
        <v>0</v>
      </c>
      <c r="M42" s="27">
        <v>1</v>
      </c>
      <c r="N42" s="3" t="s">
        <v>269</v>
      </c>
      <c r="O42" s="39" t="str">
        <f>CONCATENATE("10.",TEXT(128+BITWISE_AND(G18,G68)/4,0),".",TEXT(BITWISE_AND(G69,G18)*64+M42*8+BITWISE_AND(G71,G19)/4,0),".",TEXT(BITWISE_AND(G72,G19)*64+J42*10+L42,0))</f>
        <v>10.128.72.94</v>
      </c>
      <c r="P42" s="21"/>
      <c r="Q42" s="50">
        <v>5</v>
      </c>
      <c r="R42" s="37" t="s">
        <v>179</v>
      </c>
      <c r="S42" s="38">
        <v>0</v>
      </c>
      <c r="T42" s="38">
        <v>3</v>
      </c>
      <c r="U42" s="118" t="s">
        <v>270</v>
      </c>
      <c r="V42" s="39" t="str">
        <f>CONCATENATE("10.",TEXT(128+BITWISE_AND(G18,G68)/4,0),".",TEXT(BITWISE_AND(G69,G18)*64+T42*8+BITWISE_AND(G71,G19)/4,0),".",TEXT(BITWISE_AND(G72,G19)*64+Q42*10+S42,0))</f>
        <v>10.128.88.114</v>
      </c>
      <c r="W42" s="22"/>
      <c r="X42" s="35"/>
      <c r="Y42" s="19"/>
      <c r="Z42" s="44">
        <v>1</v>
      </c>
      <c r="AA42" s="27" t="s">
        <v>179</v>
      </c>
      <c r="AB42" s="27">
        <v>0</v>
      </c>
      <c r="AC42" s="27">
        <v>2</v>
      </c>
      <c r="AD42" s="34" t="s">
        <v>271</v>
      </c>
      <c r="AE42" s="136" t="str">
        <f>CONCATENATE("10.",TEXT(128+BITWISE_AND(AD18,G68)/4,0),".",TEXT(BITWISE_AND(G69,AD18)*64+AC42*8+BITWISE_AND(G71,AD19)/4,0),".",TEXT(BITWISE_AND(G72,AD19)*64+Z42*10+AB42,0))</f>
        <v>10.128.16.74</v>
      </c>
      <c r="AF42" s="19"/>
      <c r="AG42" s="4"/>
      <c r="AH42" s="4"/>
      <c r="AI42" s="4"/>
      <c r="AJ42" s="4"/>
      <c r="AK42" s="4"/>
      <c r="AL42" s="4"/>
      <c r="AM42" s="22"/>
      <c r="AN42" s="35"/>
      <c r="AO42" s="19"/>
      <c r="AP42" s="44">
        <v>1</v>
      </c>
      <c r="AQ42" s="27" t="s">
        <v>179</v>
      </c>
      <c r="AR42" s="27">
        <v>0</v>
      </c>
      <c r="AS42" s="27">
        <v>2</v>
      </c>
      <c r="AT42" s="34" t="s">
        <v>271</v>
      </c>
      <c r="AU42" s="136" t="str">
        <f>CONCATENATE("10.",TEXT(128+BITWISE_AND(AT18,G68)/4,0),".",TEXT(BITWISE_AND(G69,AT18)*64+AS42*8+BITWISE_AND(G71,AT19)/4,0),".",TEXT(BITWISE_AND(G72,AT19)*64+AP42*10+AR42,0))</f>
        <v>10.128.144.138</v>
      </c>
      <c r="AV42" s="22"/>
      <c r="AX42" s="19"/>
      <c r="AY42" s="44">
        <v>1</v>
      </c>
      <c r="AZ42" s="27" t="s">
        <v>179</v>
      </c>
      <c r="BA42" s="27">
        <v>0</v>
      </c>
      <c r="BB42" s="27">
        <v>2</v>
      </c>
      <c r="BC42" s="3" t="s">
        <v>271</v>
      </c>
      <c r="BD42" s="136" t="str">
        <f>CONCATENATE("10.",TEXT(128+BITWISE_AND(BC18,G68)/4,0),".",TEXT(BITWISE_AND(G69,BC18)*64+BB42*8+BITWISE_AND(G71,BC19)/4,0),".",TEXT(BITWISE_AND(G72,BC19)*64+AY42*10+BA42,0))</f>
        <v>10.128.146.74</v>
      </c>
      <c r="BE42" s="22"/>
      <c r="BG42" s="19"/>
      <c r="BH42" s="44">
        <v>1</v>
      </c>
      <c r="BI42" s="27" t="s">
        <v>179</v>
      </c>
      <c r="BJ42" s="27">
        <v>0</v>
      </c>
      <c r="BK42" s="27">
        <v>2</v>
      </c>
      <c r="BL42" s="34" t="s">
        <v>271</v>
      </c>
      <c r="BM42" s="136" t="str">
        <f>CONCATENATE("10.",TEXT(128+BITWISE_AND(BL18,G68)/4,0),".",TEXT(BITWISE_AND(G69,BL18)*64+BK42*8+BITWISE_AND(G71,BL19)/4,0),".",TEXT(BITWISE_AND(G72,BL19)*64+BH42*10+BJ42,0))</f>
        <v>10.128.146.202</v>
      </c>
      <c r="BN42" s="22"/>
      <c r="BP42" s="19"/>
      <c r="BQ42" s="44">
        <v>1</v>
      </c>
      <c r="BR42" s="27" t="s">
        <v>179</v>
      </c>
      <c r="BS42" s="27">
        <v>0</v>
      </c>
      <c r="BT42" s="27">
        <v>2</v>
      </c>
      <c r="BU42" s="34" t="s">
        <v>271</v>
      </c>
      <c r="BV42" s="136" t="str">
        <f>CONCATENATE("10.",TEXT(128+BITWISE_AND(BU18,G68)/4,0),".",TEXT(BITWISE_AND(G69,BU18)*64+BT42*8+BITWISE_AND(G71,BU19)/4,0),".",TEXT(BITWISE_AND(G72,BU19)*64+BQ42*10+BS42,0))</f>
        <v>10.128.147.10</v>
      </c>
      <c r="BW42" s="22"/>
      <c r="BX42" s="35"/>
      <c r="BY42" s="19"/>
      <c r="BZ42" s="44">
        <v>1</v>
      </c>
      <c r="CA42" s="27" t="s">
        <v>179</v>
      </c>
      <c r="CB42" s="27">
        <v>0</v>
      </c>
      <c r="CC42" s="27">
        <v>2</v>
      </c>
      <c r="CD42" s="3" t="s">
        <v>271</v>
      </c>
      <c r="CE42" s="136" t="str">
        <f>CONCATENATE("10.",TEXT(128+BITWISE_AND(CD18,G68)/4,0),".",TEXT(BITWISE_AND(G69,CD18)*64+CC42*8+BITWISE_AND(G71,CD19)/4,0),".",TEXT(BITWISE_AND(G72,CD19)*64+BZ42*10+CB42,0))</f>
        <v>10.128.147.74</v>
      </c>
      <c r="CF42" s="19"/>
      <c r="CG42" s="44">
        <v>3</v>
      </c>
      <c r="CH42" s="27" t="s">
        <v>179</v>
      </c>
      <c r="CI42" s="27">
        <v>0</v>
      </c>
      <c r="CJ42" s="27">
        <v>6</v>
      </c>
      <c r="CK42" s="33" t="s">
        <v>272</v>
      </c>
      <c r="CL42" s="39" t="str">
        <f>CONCATENATE("10.",TEXT(128+BITWISE_AND(CD18,G68)/4,0),".",TEXT(BITWISE_AND(G69,CD18)*64+CJ42*8+BITWISE_AND(G71,CD19)/4,0),".",TEXT(BITWISE_AND(G72,CD19)*64+CG42*10+CI42,0))</f>
        <v>10.128.179.94</v>
      </c>
      <c r="CM42" s="22"/>
      <c r="CN42" s="35"/>
      <c r="CO42" s="19"/>
      <c r="CP42" s="44">
        <v>1</v>
      </c>
      <c r="CQ42" s="27" t="s">
        <v>179</v>
      </c>
      <c r="CR42" s="27">
        <v>0</v>
      </c>
      <c r="CS42" s="27">
        <v>2</v>
      </c>
      <c r="CT42" s="34" t="s">
        <v>271</v>
      </c>
      <c r="CU42" s="136" t="str">
        <f>CONCATENATE("10.",TEXT(128+BITWISE_AND(CT18,G68)/4,0),".",TEXT(BITWISE_AND(G69,CT18)*64+CS42*8+BITWISE_AND(G71,CT19)/4,0),".",TEXT(BITWISE_AND(G72,CT19)*64+CP42*10+CR42,0))</f>
        <v>10.128.147.138</v>
      </c>
      <c r="CV42" s="22"/>
      <c r="CX42" s="19"/>
      <c r="CY42" s="44">
        <v>1</v>
      </c>
      <c r="CZ42" s="27" t="s">
        <v>179</v>
      </c>
      <c r="DA42" s="27">
        <v>0</v>
      </c>
      <c r="DB42" s="27">
        <v>2</v>
      </c>
      <c r="DC42" s="34" t="s">
        <v>271</v>
      </c>
      <c r="DD42" s="136" t="str">
        <f>CONCATENATE("10.",TEXT(128+BITWISE_AND(DC18,G68)/4,0),".",TEXT(BITWISE_AND(G69,DC18)*64+DB42*8+BITWISE_AND(G71,DC19)/4,0),".",TEXT(BITWISE_AND(G72,DC19)*64+CY42*10+DA42,0))</f>
        <v>10.128.148.10</v>
      </c>
      <c r="DE42" s="22"/>
      <c r="DG42" s="19"/>
      <c r="DH42" s="44">
        <v>1</v>
      </c>
      <c r="DI42" s="27" t="s">
        <v>179</v>
      </c>
      <c r="DJ42" s="27">
        <v>0</v>
      </c>
      <c r="DK42" s="27">
        <v>2</v>
      </c>
      <c r="DL42" s="34" t="s">
        <v>273</v>
      </c>
      <c r="DM42" s="39" t="str">
        <f>CONCATENATE("10.",TEXT(128+BITWISE_AND(DL18,G68)/4,0),".",TEXT(BITWISE_AND(G69,DL18)*64+DK42*8+BITWISE_AND(G71,DL19)/4,0),".",TEXT(BITWISE_AND(G72,DL19)*64+DH42*10+DJ42,0))</f>
        <v>10.128.148.74</v>
      </c>
      <c r="DN42" s="21"/>
      <c r="DO42" s="44">
        <v>3</v>
      </c>
      <c r="DP42" s="37" t="s">
        <v>179</v>
      </c>
      <c r="DQ42" s="38">
        <v>0</v>
      </c>
      <c r="DR42" s="38">
        <v>2</v>
      </c>
      <c r="DS42" s="51" t="s">
        <v>274</v>
      </c>
      <c r="DT42" s="39" t="str">
        <f>CONCATENATE("10.",TEXT(128+BITWISE_AND(DL18,G68)/4,0),".",TEXT(BITWISE_AND(G69,DL18)*64+DR42*8+BITWISE_AND(G71,DL19)/4,0),".",TEXT(BITWISE_AND(G72,DL19)*64+DO42*10+DQ42,0))</f>
        <v>10.128.148.94</v>
      </c>
      <c r="DU42" s="22"/>
    </row>
    <row r="43" spans="2:125" ht="15" customHeight="1">
      <c r="B43" s="19"/>
      <c r="C43" s="191" t="s">
        <v>275</v>
      </c>
      <c r="D43" s="40" t="s">
        <v>188</v>
      </c>
      <c r="E43" s="24">
        <v>1</v>
      </c>
      <c r="F43" s="24">
        <v>1</v>
      </c>
      <c r="G43" s="1" t="s">
        <v>276</v>
      </c>
      <c r="H43" s="8" t="str">
        <f>CONCATENATE("10.",TEXT(128+BITWISE_AND(G18,G68)/4,0),".",TEXT(BITWISE_AND(G69,G18)*64+F43*8+BITWISE_AND(G71,G19)/4,0),".",TEXT(BITWISE_AND(G72,G19)*64+C42*10+E43,0))</f>
        <v>10.128.72.75</v>
      </c>
      <c r="I43" s="21"/>
      <c r="J43" s="191" t="s">
        <v>277</v>
      </c>
      <c r="K43" s="24" t="s">
        <v>188</v>
      </c>
      <c r="L43" s="24">
        <v>1</v>
      </c>
      <c r="M43" s="24">
        <v>5</v>
      </c>
      <c r="N43" s="119" t="s">
        <v>278</v>
      </c>
      <c r="O43" s="8" t="str">
        <f>CONCATENATE("10.",TEXT(128+BITWISE_AND(G18,G68)/4,0),".",TEXT(BITWISE_AND(G69,G18)*64+M43*8+BITWISE_AND(G71,G19)/4,0),".",TEXT(BITWISE_AND(G72,G19)*64+J42*10+L43,0))</f>
        <v>10.128.104.95</v>
      </c>
      <c r="P43" s="21"/>
      <c r="Q43" s="200" t="s">
        <v>279</v>
      </c>
      <c r="R43" s="40" t="s">
        <v>188</v>
      </c>
      <c r="S43" s="1">
        <v>1</v>
      </c>
      <c r="T43" s="1">
        <v>7</v>
      </c>
      <c r="U43" s="1" t="s">
        <v>207</v>
      </c>
      <c r="V43" s="9" t="str">
        <f>CONCATENATE("10.",TEXT(128+BITWISE_AND(G18,G68)/4,0),".",TEXT(BITWISE_AND(G69,G18)*64+T43*8+BITWISE_AND(G71,G19)/4,0),".",TEXT(BITWISE_AND(G72,G19)*64+Q42*10+S43,0))</f>
        <v>10.128.120.115</v>
      </c>
      <c r="W43" s="22"/>
      <c r="X43" s="35"/>
      <c r="Y43" s="19"/>
      <c r="Z43" s="191" t="s">
        <v>275</v>
      </c>
      <c r="AA43" s="24" t="s">
        <v>188</v>
      </c>
      <c r="AB43" s="24">
        <v>1</v>
      </c>
      <c r="AC43" s="24">
        <v>3</v>
      </c>
      <c r="AD43" s="32" t="s">
        <v>280</v>
      </c>
      <c r="AE43" s="8" t="str">
        <f>CONCATENATE("10.",TEXT(128+BITWISE_AND(AD18,G68)/4,0),".",TEXT(BITWISE_AND(G69,AD18)*64+AC43*8+BITWISE_AND(G71,AD19)/4,0),".",TEXT(BITWISE_AND(G72,AD19)*64+Z42*10+AB43,0))</f>
        <v>10.128.24.75</v>
      </c>
      <c r="AF43" s="19"/>
      <c r="AG43" s="4"/>
      <c r="AH43" s="4"/>
      <c r="AI43" s="4"/>
      <c r="AJ43" s="4"/>
      <c r="AK43" s="4"/>
      <c r="AL43" s="4"/>
      <c r="AM43" s="22"/>
      <c r="AN43" s="35"/>
      <c r="AO43" s="19"/>
      <c r="AP43" s="191" t="s">
        <v>275</v>
      </c>
      <c r="AQ43" s="24" t="s">
        <v>188</v>
      </c>
      <c r="AR43" s="24">
        <v>1</v>
      </c>
      <c r="AS43" s="24">
        <v>3</v>
      </c>
      <c r="AT43" s="32" t="s">
        <v>280</v>
      </c>
      <c r="AU43" s="8" t="str">
        <f>CONCATENATE("10.",TEXT(128+BITWISE_AND(AT18,G68)/4,0),".",TEXT(BITWISE_AND(G69,AT18)*64+AS43*8+BITWISE_AND(G71,AT19)/4,0),".",TEXT(BITWISE_AND(G72,AT19)*64+AP42*10+AR43,0))</f>
        <v>10.128.152.139</v>
      </c>
      <c r="AV43" s="22"/>
      <c r="AX43" s="19"/>
      <c r="AY43" s="191" t="s">
        <v>275</v>
      </c>
      <c r="AZ43" s="24" t="s">
        <v>188</v>
      </c>
      <c r="BA43" s="24">
        <v>1</v>
      </c>
      <c r="BB43" s="24">
        <v>3</v>
      </c>
      <c r="BC43" s="32" t="s">
        <v>280</v>
      </c>
      <c r="BD43" s="8" t="str">
        <f>CONCATENATE("10.",TEXT(128+BITWISE_AND(BC18,G68)/4,0),".",TEXT(BITWISE_AND(G69,BC18)*64+BB43*8+BITWISE_AND(G71,BC19)/4,0),".",TEXT(BITWISE_AND(G72,BC19)*64+AY42*10+BA43,0))</f>
        <v>10.128.154.75</v>
      </c>
      <c r="BE43" s="22"/>
      <c r="BG43" s="19"/>
      <c r="BH43" s="191" t="s">
        <v>275</v>
      </c>
      <c r="BI43" s="24" t="s">
        <v>188</v>
      </c>
      <c r="BJ43" s="24">
        <v>1</v>
      </c>
      <c r="BK43" s="24">
        <v>7</v>
      </c>
      <c r="BL43" s="31"/>
      <c r="BM43" s="8" t="str">
        <f>CONCATENATE("10.",TEXT(128+BITWISE_AND(BL18,G68)/4,0),".",TEXT(BITWISE_AND(G69,BL18)*64+BK43*8+BITWISE_AND(G71,BL19)/4,0),".",TEXT(BITWISE_AND(G72,BL19)*64+BH42*10+BJ43,0))</f>
        <v>10.128.186.203</v>
      </c>
      <c r="BN43" s="22"/>
      <c r="BP43" s="19"/>
      <c r="BQ43" s="191" t="s">
        <v>275</v>
      </c>
      <c r="BR43" s="24" t="s">
        <v>188</v>
      </c>
      <c r="BS43" s="24">
        <v>1</v>
      </c>
      <c r="BT43" s="24">
        <v>3</v>
      </c>
      <c r="BU43" s="32" t="s">
        <v>280</v>
      </c>
      <c r="BV43" s="8" t="str">
        <f>CONCATENATE("10.",TEXT(128+BITWISE_AND(BU18,G68)/4,0),".",TEXT(BITWISE_AND(G69,BU18)*64+BT43*8+BITWISE_AND(G71,BU19)/4,0),".",TEXT(BITWISE_AND(G72,BU19)*64+BQ42*10+BS43,0))</f>
        <v>10.128.155.11</v>
      </c>
      <c r="BW43" s="22"/>
      <c r="BX43" s="35"/>
      <c r="BY43" s="19"/>
      <c r="BZ43" s="191" t="s">
        <v>275</v>
      </c>
      <c r="CA43" s="24" t="s">
        <v>188</v>
      </c>
      <c r="CB43" s="24">
        <v>1</v>
      </c>
      <c r="CC43" s="24">
        <v>3</v>
      </c>
      <c r="CD43" s="32" t="s">
        <v>280</v>
      </c>
      <c r="CE43" s="8" t="str">
        <f>CONCATENATE("10.",TEXT(128+BITWISE_AND(CD18,G68)/4,0),".",TEXT(BITWISE_AND(G69,CD18)*64+CC43*8+BITWISE_AND(G71,CD19)/4,0),".",TEXT(BITWISE_AND(G72,CD19)*64+BZ42*10+CB43,0))</f>
        <v>10.128.155.75</v>
      </c>
      <c r="CF43" s="19"/>
      <c r="CG43" s="192" t="s">
        <v>281</v>
      </c>
      <c r="CH43" s="24" t="s">
        <v>188</v>
      </c>
      <c r="CI43" s="24">
        <v>1</v>
      </c>
      <c r="CJ43" s="24">
        <v>3</v>
      </c>
      <c r="CK43" s="33" t="s">
        <v>282</v>
      </c>
      <c r="CL43" s="8" t="str">
        <f>CONCATENATE("10.",TEXT(128+BITWISE_AND(CD18,G68)/4,0),".",TEXT(BITWISE_AND(G69,CD18)*64+CJ43*8+BITWISE_AND(G71,CD19)/4,0),".",TEXT(BITWISE_AND(G72,CD19)*64+CG42*10+CI43,0))</f>
        <v>10.128.155.95</v>
      </c>
      <c r="CM43" s="22"/>
      <c r="CN43" s="35"/>
      <c r="CO43" s="19"/>
      <c r="CP43" s="191" t="s">
        <v>275</v>
      </c>
      <c r="CQ43" s="24" t="s">
        <v>188</v>
      </c>
      <c r="CR43" s="24">
        <v>1</v>
      </c>
      <c r="CS43" s="24">
        <v>3</v>
      </c>
      <c r="CT43" s="32" t="s">
        <v>280</v>
      </c>
      <c r="CU43" s="8" t="str">
        <f>CONCATENATE("10.",TEXT(128+BITWISE_AND(CT18,G68)/4,0),".",TEXT(BITWISE_AND(G69,CT18)*64+CS43*8+BITWISE_AND(G71,CT19)/4,0),".",TEXT(BITWISE_AND(G72,CT19)*64+CP42*10+CR43,0))</f>
        <v>10.128.155.139</v>
      </c>
      <c r="CV43" s="22"/>
      <c r="CX43" s="19"/>
      <c r="CY43" s="191" t="s">
        <v>275</v>
      </c>
      <c r="CZ43" s="24" t="s">
        <v>188</v>
      </c>
      <c r="DA43" s="24">
        <v>1</v>
      </c>
      <c r="DB43" s="24">
        <v>3</v>
      </c>
      <c r="DC43" s="32" t="s">
        <v>280</v>
      </c>
      <c r="DD43" s="8" t="str">
        <f>CONCATENATE("10.",TEXT(128+BITWISE_AND(DC18,G68)/4,0),".",TEXT(BITWISE_AND(G69,DC18)*64+DB43*8+BITWISE_AND(G71,DC19)/4,0),".",TEXT(BITWISE_AND(G72,DC19)*64+CY42*10+DA43,0))</f>
        <v>10.128.156.11</v>
      </c>
      <c r="DE43" s="22"/>
      <c r="DG43" s="19"/>
      <c r="DH43" s="191" t="s">
        <v>275</v>
      </c>
      <c r="DI43" s="24" t="s">
        <v>188</v>
      </c>
      <c r="DJ43" s="24">
        <v>1</v>
      </c>
      <c r="DK43" s="24">
        <v>1</v>
      </c>
      <c r="DL43" s="32" t="s">
        <v>283</v>
      </c>
      <c r="DM43" s="8" t="str">
        <f>CONCATENATE("10.",TEXT(128+BITWISE_AND(DL18,G68)/4,0),".",TEXT(BITWISE_AND(G69,DL18)*64+DK43*8+BITWISE_AND(G71,DL19)/4,0),".",TEXT(BITWISE_AND(G72,DL19)*64+DH42*10+DJ43,0))</f>
        <v>10.128.140.75</v>
      </c>
      <c r="DN43" s="21"/>
      <c r="DO43" s="208" t="s">
        <v>277</v>
      </c>
      <c r="DP43" s="40" t="s">
        <v>188</v>
      </c>
      <c r="DQ43" s="1">
        <v>1</v>
      </c>
      <c r="DR43" s="1">
        <v>1</v>
      </c>
      <c r="DS43" s="1" t="s">
        <v>284</v>
      </c>
      <c r="DT43" s="9" t="str">
        <f>CONCATENATE("10.",TEXT(128+BITWISE_AND(DL18,G68)/4,0),".",TEXT(BITWISE_AND(G69,DL18)*64+DR43*8+BITWISE_AND(G71,DL19)/4,0),".",TEXT(BITWISE_AND(G72,DL19)*64+DO42*10+DQ43,0))</f>
        <v>10.128.140.95</v>
      </c>
      <c r="DU43" s="22"/>
    </row>
    <row r="44" spans="2:125">
      <c r="B44" s="19"/>
      <c r="C44" s="192"/>
      <c r="D44" s="40" t="s">
        <v>201</v>
      </c>
      <c r="E44" s="24">
        <v>2</v>
      </c>
      <c r="F44" s="24">
        <v>0</v>
      </c>
      <c r="G44" s="33" t="s">
        <v>285</v>
      </c>
      <c r="H44" s="8" t="str">
        <f>CONCATENATE("10.",TEXT(128+BITWISE_AND(G18,G68)/4,0),".",TEXT(BITWISE_AND(G69,G18)*64+F44*8+BITWISE_AND(G71,G19)/4,0),".",TEXT(BITWISE_AND(G72,G19)*64+C42*10+E44,0))</f>
        <v>10.128.64.76</v>
      </c>
      <c r="I44" s="21"/>
      <c r="J44" s="192"/>
      <c r="K44" s="24" t="s">
        <v>201</v>
      </c>
      <c r="L44" s="24">
        <v>2</v>
      </c>
      <c r="M44" s="24">
        <v>5</v>
      </c>
      <c r="N44" s="33" t="s">
        <v>287</v>
      </c>
      <c r="O44" s="8" t="str">
        <f>CONCATENATE("10.",TEXT(128+BITWISE_AND(G18,G68)/4,0),".",TEXT(BITWISE_AND(G69,G18)*64+M44*8+BITWISE_AND(G71,G19)/4,0),".",TEXT(BITWISE_AND(G72,G19)*64+J42*10+L44,0))</f>
        <v>10.128.104.96</v>
      </c>
      <c r="P44" s="21"/>
      <c r="Q44" s="200"/>
      <c r="R44" s="40" t="s">
        <v>201</v>
      </c>
      <c r="S44" s="1">
        <v>2</v>
      </c>
      <c r="T44" s="1">
        <v>3</v>
      </c>
      <c r="U44" s="1" t="s">
        <v>288</v>
      </c>
      <c r="V44" s="9" t="str">
        <f>CONCATENATE("10.",TEXT(128+BITWISE_AND(G18,G68)/4,0),".",TEXT(BITWISE_AND(G69,G18)*64+T44*8+BITWISE_AND(G71,G19)/4,0),".",TEXT(BITWISE_AND(G72,G19)*64+Q42*10+S44,0))</f>
        <v>10.128.88.116</v>
      </c>
      <c r="W44" s="22"/>
      <c r="X44" s="35"/>
      <c r="Y44" s="19"/>
      <c r="Z44" s="192"/>
      <c r="AA44" s="24" t="s">
        <v>201</v>
      </c>
      <c r="AB44" s="24">
        <v>2</v>
      </c>
      <c r="AC44" s="24">
        <v>3</v>
      </c>
      <c r="AD44" s="32" t="s">
        <v>289</v>
      </c>
      <c r="AE44" s="8" t="str">
        <f>CONCATENATE("10.",TEXT(128+BITWISE_AND(AD18,G68)/4,0),".",TEXT(BITWISE_AND(G69,AD18)*64+AC44*8+BITWISE_AND(G71,AD19)/4,0),".",TEXT(BITWISE_AND(G72,AD19)*64+Z42*10+AB44,0))</f>
        <v>10.128.24.76</v>
      </c>
      <c r="AF44" s="19"/>
      <c r="AG44" s="4"/>
      <c r="AH44" s="4"/>
      <c r="AI44" s="4"/>
      <c r="AJ44" s="4"/>
      <c r="AK44" s="4"/>
      <c r="AL44" s="4"/>
      <c r="AM44" s="22"/>
      <c r="AN44" s="35"/>
      <c r="AO44" s="19"/>
      <c r="AP44" s="192"/>
      <c r="AQ44" s="24" t="s">
        <v>201</v>
      </c>
      <c r="AR44" s="24">
        <v>2</v>
      </c>
      <c r="AS44" s="24">
        <v>3</v>
      </c>
      <c r="AT44" s="32" t="s">
        <v>289</v>
      </c>
      <c r="AU44" s="8" t="str">
        <f>CONCATENATE("10.",TEXT(128+BITWISE_AND(AT18,G68)/4,0),".",TEXT(BITWISE_AND(G69,AT18)*64+AS44*8+BITWISE_AND(G71,AT19)/4,0),".",TEXT(BITWISE_AND(G72,AT19)*64+AP42*10+AR44,0))</f>
        <v>10.128.152.140</v>
      </c>
      <c r="AV44" s="22"/>
      <c r="AX44" s="19"/>
      <c r="AY44" s="192"/>
      <c r="AZ44" s="24" t="s">
        <v>201</v>
      </c>
      <c r="BA44" s="24">
        <v>2</v>
      </c>
      <c r="BB44" s="24">
        <v>7</v>
      </c>
      <c r="BC44" s="1"/>
      <c r="BD44" s="8" t="str">
        <f>CONCATENATE("10.",TEXT(128+BITWISE_AND(BC18,G68)/4,0),".",TEXT(BITWISE_AND(G69,BC18)*64+BB44*8+BITWISE_AND(G71,BC19)/4,0),".",TEXT(BITWISE_AND(G72,BC19)*64+AY42*10+BA44,0))</f>
        <v>10.128.186.76</v>
      </c>
      <c r="BE44" s="22"/>
      <c r="BG44" s="19"/>
      <c r="BH44" s="192"/>
      <c r="BI44" s="24" t="s">
        <v>201</v>
      </c>
      <c r="BJ44" s="24">
        <v>2</v>
      </c>
      <c r="BK44" s="24">
        <v>7</v>
      </c>
      <c r="BL44" s="32"/>
      <c r="BM44" s="8" t="str">
        <f>CONCATENATE("10.",TEXT(128+BITWISE_AND(BL18,G68)/4,0),".",TEXT(BITWISE_AND(G69,BL18)*64+BK44*8+BITWISE_AND(G71,BL19)/4,0),".",TEXT(BITWISE_AND(G72,BL19)*64+BH42*10+BJ44,0))</f>
        <v>10.128.186.204</v>
      </c>
      <c r="BN44" s="22"/>
      <c r="BP44" s="19"/>
      <c r="BQ44" s="192"/>
      <c r="BR44" s="24" t="s">
        <v>201</v>
      </c>
      <c r="BS44" s="24">
        <v>2</v>
      </c>
      <c r="BT44" s="24">
        <v>3</v>
      </c>
      <c r="BU44" s="32" t="s">
        <v>289</v>
      </c>
      <c r="BV44" s="8" t="str">
        <f>CONCATENATE("10.",TEXT(128+BITWISE_AND(BU18,G68)/4,0),".",TEXT(BITWISE_AND(G69,BU18)*64+BT44*8+BITWISE_AND(G71,BU19)/4,0),".",TEXT(BITWISE_AND(G72,BU19)*64+BQ42*10+BS44,0))</f>
        <v>10.128.155.12</v>
      </c>
      <c r="BW44" s="22"/>
      <c r="BX44" s="35"/>
      <c r="BY44" s="19"/>
      <c r="BZ44" s="192"/>
      <c r="CA44" s="24" t="s">
        <v>201</v>
      </c>
      <c r="CB44" s="24">
        <v>2</v>
      </c>
      <c r="CC44" s="24">
        <v>3</v>
      </c>
      <c r="CD44" s="32" t="s">
        <v>289</v>
      </c>
      <c r="CE44" s="8" t="str">
        <f>CONCATENATE("10.",TEXT(128+BITWISE_AND(CD18,G68)/4,0),".",TEXT(BITWISE_AND(G69,CD18)*64+CC44*8+BITWISE_AND(G71,CD19)/4,0),".",TEXT(BITWISE_AND(G72,CD19)*64+BZ42*10+CB44,0))</f>
        <v>10.128.155.76</v>
      </c>
      <c r="CF44" s="19"/>
      <c r="CG44" s="192"/>
      <c r="CH44" s="24" t="s">
        <v>201</v>
      </c>
      <c r="CI44" s="24">
        <v>2</v>
      </c>
      <c r="CJ44" s="24">
        <v>1</v>
      </c>
      <c r="CK44" s="32" t="s">
        <v>290</v>
      </c>
      <c r="CL44" s="8" t="str">
        <f>CONCATENATE("10.",TEXT(128+BITWISE_AND(CD18,G68)/4,0),".",TEXT(BITWISE_AND(G69,CD18)*64+CJ44*8+BITWISE_AND(G71,CD19)/4,0),".",TEXT(BITWISE_AND(G72,CD19)*64+CG42*10+CI44,0))</f>
        <v>10.128.139.96</v>
      </c>
      <c r="CM44" s="22"/>
      <c r="CN44" s="35"/>
      <c r="CO44" s="19"/>
      <c r="CP44" s="192"/>
      <c r="CQ44" s="24" t="s">
        <v>201</v>
      </c>
      <c r="CR44" s="24">
        <v>2</v>
      </c>
      <c r="CS44" s="24">
        <v>3</v>
      </c>
      <c r="CT44" s="32" t="s">
        <v>291</v>
      </c>
      <c r="CU44" s="8" t="str">
        <f>CONCATENATE("10.",TEXT(128+BITWISE_AND(CT18,G68)/4,0),".",TEXT(BITWISE_AND(G69,CT18)*64+CS44*8+BITWISE_AND(G71,CT19)/4,0),".",TEXT(BITWISE_AND(G72,CT19)*64+CP42*10+CR44,0))</f>
        <v>10.128.155.140</v>
      </c>
      <c r="CV44" s="22"/>
      <c r="CX44" s="19"/>
      <c r="CY44" s="192"/>
      <c r="CZ44" s="24" t="s">
        <v>201</v>
      </c>
      <c r="DA44" s="24">
        <v>2</v>
      </c>
      <c r="DB44" s="24">
        <v>3</v>
      </c>
      <c r="DC44" s="32" t="s">
        <v>289</v>
      </c>
      <c r="DD44" s="8" t="str">
        <f>CONCATENATE("10.",TEXT(128+BITWISE_AND(DC18,G68)/4,0),".",TEXT(BITWISE_AND(G69,DC18)*64+DB44*8+BITWISE_AND(G71,DC19)/4,0),".",TEXT(BITWISE_AND(G72,DC19)*64+CY42*10+DA44,0))</f>
        <v>10.128.156.12</v>
      </c>
      <c r="DE44" s="22"/>
      <c r="DG44" s="19"/>
      <c r="DH44" s="192"/>
      <c r="DI44" s="24" t="s">
        <v>201</v>
      </c>
      <c r="DJ44" s="24">
        <v>2</v>
      </c>
      <c r="DK44" s="24">
        <v>3</v>
      </c>
      <c r="DL44" s="32" t="s">
        <v>289</v>
      </c>
      <c r="DM44" s="8" t="str">
        <f>CONCATENATE("10.",TEXT(128+BITWISE_AND(DL18,G68)/4,0),".",TEXT(BITWISE_AND(G69,DL18)*64+DK44*8+BITWISE_AND(G71,DL19)/4,0),".",TEXT(BITWISE_AND(G72,DL19)*64+DH42*10+DJ44,0))</f>
        <v>10.128.156.76</v>
      </c>
      <c r="DN44" s="21"/>
      <c r="DO44" s="209"/>
      <c r="DP44" s="40" t="s">
        <v>201</v>
      </c>
      <c r="DQ44" s="1">
        <v>2</v>
      </c>
      <c r="DR44" s="1">
        <v>2</v>
      </c>
      <c r="DS44" s="32" t="s">
        <v>271</v>
      </c>
      <c r="DT44" s="137" t="str">
        <f>CONCATENATE("10.",TEXT(128+BITWISE_AND(DL18,G68)/4,0),".",TEXT(BITWISE_AND(G69,DL18)*64+DR44*8+BITWISE_AND(G71,DL19)/4,0),".",TEXT(BITWISE_AND(G72,DL19)*64+DO42*10+DQ44,0))</f>
        <v>10.128.148.96</v>
      </c>
      <c r="DU44" s="22"/>
    </row>
    <row r="45" spans="2:125">
      <c r="B45" s="19"/>
      <c r="C45" s="192"/>
      <c r="D45" s="40" t="s">
        <v>210</v>
      </c>
      <c r="E45" s="24">
        <v>3</v>
      </c>
      <c r="F45" s="24">
        <v>2</v>
      </c>
      <c r="G45" s="33" t="s">
        <v>273</v>
      </c>
      <c r="H45" s="8" t="str">
        <f>CONCATENATE("10.",TEXT(128+BITWISE_AND(G18,G68)/4,0),".",TEXT(BITWISE_AND(G69,G18)*64+F45*8+BITWISE_AND(G71,G19)/4,0),".",TEXT(BITWISE_AND(G72,G19)*64+C42*10+E45,0))</f>
        <v>10.128.80.77</v>
      </c>
      <c r="I45" s="21"/>
      <c r="J45" s="192"/>
      <c r="K45" s="24" t="s">
        <v>210</v>
      </c>
      <c r="L45" s="24">
        <v>3</v>
      </c>
      <c r="M45" s="24">
        <v>5</v>
      </c>
      <c r="N45" s="33" t="s">
        <v>292</v>
      </c>
      <c r="O45" s="8" t="str">
        <f>CONCATENATE("10.",TEXT(128+BITWISE_AND(G18,G68)/4,0),".",TEXT(BITWISE_AND(G69,G18)*64+M45*8+BITWISE_AND(G71,G19)/4,0),".",TEXT(BITWISE_AND(G72,G19)*64+J42*10+L45,0))</f>
        <v>10.128.104.97</v>
      </c>
      <c r="P45" s="21"/>
      <c r="Q45" s="200"/>
      <c r="R45" s="40" t="s">
        <v>210</v>
      </c>
      <c r="S45" s="1">
        <v>3</v>
      </c>
      <c r="T45" s="1">
        <v>3</v>
      </c>
      <c r="U45" s="1" t="s">
        <v>293</v>
      </c>
      <c r="V45" s="9" t="str">
        <f>CONCATENATE("10.",TEXT(128+BITWISE_AND(G18,G68)/4,0),".",TEXT(BITWISE_AND(G69,G18)*64+T45*8+BITWISE_AND(G71,G19)/4,0),".",TEXT(BITWISE_AND(G72,G19)*64+Q42*10+S45,0))</f>
        <v>10.128.88.117</v>
      </c>
      <c r="W45" s="22"/>
      <c r="X45" s="35"/>
      <c r="Y45" s="19"/>
      <c r="Z45" s="192"/>
      <c r="AA45" s="24" t="s">
        <v>210</v>
      </c>
      <c r="AB45" s="24">
        <v>3</v>
      </c>
      <c r="AC45" s="24">
        <v>3</v>
      </c>
      <c r="AD45" s="32" t="s">
        <v>294</v>
      </c>
      <c r="AE45" s="8" t="str">
        <f>CONCATENATE("10.",TEXT(128+BITWISE_AND(AD18,G68)/4,0),".",TEXT(BITWISE_AND(G69,AD18)*64+AC45*8+BITWISE_AND(G71,AD19)/4,0),".",TEXT(BITWISE_AND(G72,AD19)*64+Z42*10+AB45,0))</f>
        <v>10.128.24.77</v>
      </c>
      <c r="AF45" s="19"/>
      <c r="AG45" s="4"/>
      <c r="AH45" s="4"/>
      <c r="AI45" s="4"/>
      <c r="AJ45" s="4"/>
      <c r="AK45" s="4"/>
      <c r="AL45" s="4"/>
      <c r="AM45" s="22"/>
      <c r="AN45" s="35"/>
      <c r="AO45" s="19"/>
      <c r="AP45" s="192"/>
      <c r="AQ45" s="24" t="s">
        <v>210</v>
      </c>
      <c r="AR45" s="24">
        <v>3</v>
      </c>
      <c r="AS45" s="24">
        <v>3</v>
      </c>
      <c r="AT45" s="32" t="s">
        <v>294</v>
      </c>
      <c r="AU45" s="8" t="str">
        <f>CONCATENATE("10.",TEXT(128+BITWISE_AND(AT18,G68)/4,0),".",TEXT(BITWISE_AND(G69,AT18)*64+AS45*8+BITWISE_AND(G71,AT19)/4,0),".",TEXT(BITWISE_AND(G72,AT19)*64+AP42*10+AR45,0))</f>
        <v>10.128.152.141</v>
      </c>
      <c r="AV45" s="22"/>
      <c r="AX45" s="19"/>
      <c r="AY45" s="192"/>
      <c r="AZ45" s="24" t="s">
        <v>210</v>
      </c>
      <c r="BA45" s="24">
        <v>3</v>
      </c>
      <c r="BB45" s="24">
        <v>3</v>
      </c>
      <c r="BC45" s="32" t="s">
        <v>294</v>
      </c>
      <c r="BD45" s="8" t="str">
        <f>CONCATENATE("10.",TEXT(128+BITWISE_AND(BC18,G68)/4,0),".",TEXT(BITWISE_AND(G69,BC18)*64+BB45*8+BITWISE_AND(G71,BC19)/4,0),".",TEXT(BITWISE_AND(G72,BC19)*64+AY42*10+BA45,0))</f>
        <v>10.128.154.77</v>
      </c>
      <c r="BE45" s="22"/>
      <c r="BG45" s="19"/>
      <c r="BH45" s="192"/>
      <c r="BI45" s="24" t="s">
        <v>210</v>
      </c>
      <c r="BJ45" s="24">
        <v>3</v>
      </c>
      <c r="BK45" s="24">
        <v>3</v>
      </c>
      <c r="BL45" s="32" t="s">
        <v>294</v>
      </c>
      <c r="BM45" s="8" t="str">
        <f>CONCATENATE("10.",TEXT(128+BITWISE_AND(BL18,G68)/4,0),".",TEXT(BITWISE_AND(G69,BL18)*64+BK45*8+BITWISE_AND(G71,BL19)/4,0),".",TEXT(BITWISE_AND(G72,BL19)*64+BH42*10+BJ45,0))</f>
        <v>10.128.154.205</v>
      </c>
      <c r="BN45" s="22"/>
      <c r="BP45" s="19"/>
      <c r="BQ45" s="192"/>
      <c r="BR45" s="24" t="s">
        <v>210</v>
      </c>
      <c r="BS45" s="24">
        <v>3</v>
      </c>
      <c r="BT45" s="24">
        <v>3</v>
      </c>
      <c r="BU45" s="32" t="s">
        <v>294</v>
      </c>
      <c r="BV45" s="8" t="str">
        <f>CONCATENATE("10.",TEXT(128+BITWISE_AND(BU18,G68)/4,0),".",TEXT(BITWISE_AND(G69,BU18)*64+BT45*8+BITWISE_AND(G71,BU19)/4,0),".",TEXT(BITWISE_AND(G72,BU19)*64+BQ42*10+BS45,0))</f>
        <v>10.128.155.13</v>
      </c>
      <c r="BW45" s="22"/>
      <c r="BX45" s="35"/>
      <c r="BY45" s="19"/>
      <c r="BZ45" s="192"/>
      <c r="CA45" s="24" t="s">
        <v>210</v>
      </c>
      <c r="CB45" s="24">
        <v>3</v>
      </c>
      <c r="CC45" s="24">
        <v>3</v>
      </c>
      <c r="CD45" s="32" t="s">
        <v>294</v>
      </c>
      <c r="CE45" s="8" t="str">
        <f>CONCATENATE("10.",TEXT(128+BITWISE_AND(CD18,G68)/4,0),".",TEXT(BITWISE_AND(G69,CD18)*64+CC45*8+BITWISE_AND(G71,CD19)/4,0),".",TEXT(BITWISE_AND(G72,CD19)*64+BZ42*10+CB45,0))</f>
        <v>10.128.155.77</v>
      </c>
      <c r="CF45" s="19"/>
      <c r="CG45" s="192"/>
      <c r="CH45" s="24" t="s">
        <v>210</v>
      </c>
      <c r="CI45" s="24">
        <v>3</v>
      </c>
      <c r="CJ45" s="24">
        <v>7</v>
      </c>
      <c r="CK45" s="31"/>
      <c r="CL45" s="8" t="str">
        <f>CONCATENATE("10.",TEXT(128+BITWISE_AND(CD18,G68)/4,0),".",TEXT(BITWISE_AND(G69,CD18)*64+CJ45*8+BITWISE_AND(G71,CD19)/4,0),".",TEXT(BITWISE_AND(G72,CD19)*64+CG42*10+CI45,0))</f>
        <v>10.128.187.97</v>
      </c>
      <c r="CM45" s="22"/>
      <c r="CN45" s="35"/>
      <c r="CO45" s="19"/>
      <c r="CP45" s="192"/>
      <c r="CQ45" s="24" t="s">
        <v>210</v>
      </c>
      <c r="CR45" s="24">
        <v>3</v>
      </c>
      <c r="CS45" s="24">
        <v>3</v>
      </c>
      <c r="CT45" s="32" t="s">
        <v>294</v>
      </c>
      <c r="CU45" s="8" t="str">
        <f>CONCATENATE("10.",TEXT(128+BITWISE_AND(CT18,G68)/4,0),".",TEXT(BITWISE_AND(G69,CT18)*64+CS45*8+BITWISE_AND(G71,CT19)/4,0),".",TEXT(BITWISE_AND(G72,CT19)*64+CP42*10+CR45,0))</f>
        <v>10.128.155.141</v>
      </c>
      <c r="CV45" s="22"/>
      <c r="CX45" s="19"/>
      <c r="CY45" s="192"/>
      <c r="CZ45" s="24" t="s">
        <v>210</v>
      </c>
      <c r="DA45" s="24">
        <v>3</v>
      </c>
      <c r="DB45" s="24">
        <v>3</v>
      </c>
      <c r="DC45" s="32" t="s">
        <v>294</v>
      </c>
      <c r="DD45" s="8" t="str">
        <f>CONCATENATE("10.",TEXT(128+BITWISE_AND(DC18,G68)/4,0),".",TEXT(BITWISE_AND(G69,DC18)*64+DB45*8+BITWISE_AND(G71,DC19)/4,0),".",TEXT(BITWISE_AND(G72,DC19)*64+CY42*10+DA45,0))</f>
        <v>10.128.156.13</v>
      </c>
      <c r="DE45" s="22"/>
      <c r="DG45" s="19"/>
      <c r="DH45" s="192"/>
      <c r="DI45" s="24" t="s">
        <v>210</v>
      </c>
      <c r="DJ45" s="24">
        <v>3</v>
      </c>
      <c r="DK45" s="24">
        <v>3</v>
      </c>
      <c r="DL45" s="32" t="s">
        <v>294</v>
      </c>
      <c r="DM45" s="8" t="str">
        <f>CONCATENATE("10.",TEXT(128+BITWISE_AND(DL18,G68)/4,0),".",TEXT(BITWISE_AND(G69,DL18)*64+DK45*8+BITWISE_AND(G71,DL19)/4,0),".",TEXT(BITWISE_AND(G72,DL19)*64+DH42*10+DJ45,0))</f>
        <v>10.128.156.77</v>
      </c>
      <c r="DN45" s="21"/>
      <c r="DO45" s="209"/>
      <c r="DP45" s="40" t="s">
        <v>210</v>
      </c>
      <c r="DQ45" s="1">
        <v>3</v>
      </c>
      <c r="DR45" s="1">
        <v>3</v>
      </c>
      <c r="DS45" s="32" t="s">
        <v>295</v>
      </c>
      <c r="DT45" s="9" t="str">
        <f>CONCATENATE("10.",TEXT(128+BITWISE_AND(DL18,G68)/4,0),".",TEXT(BITWISE_AND(G69,DL18)*64+DR45*8+BITWISE_AND(G71,DL19)/4,0),".",TEXT(BITWISE_AND(G72,DL19)*64+DO42*10+DQ45,0))</f>
        <v>10.128.156.97</v>
      </c>
      <c r="DU45" s="22"/>
    </row>
    <row r="46" spans="2:125">
      <c r="B46" s="19"/>
      <c r="C46" s="192"/>
      <c r="D46" s="40" t="s">
        <v>215</v>
      </c>
      <c r="E46" s="24">
        <v>4</v>
      </c>
      <c r="F46" s="24">
        <v>2</v>
      </c>
      <c r="G46" s="33" t="s">
        <v>274</v>
      </c>
      <c r="H46" s="8" t="str">
        <f>CONCATENATE("10.",TEXT(128+BITWISE_AND(G18,G68)/4,0),".",TEXT(BITWISE_AND(G69,G18)*64+F46*8+BITWISE_AND(G71,G19)/4,0),".",TEXT(BITWISE_AND(G72,G19)*64+C42*10+E46,0))</f>
        <v>10.128.80.78</v>
      </c>
      <c r="I46" s="21"/>
      <c r="J46" s="192"/>
      <c r="K46" s="24" t="s">
        <v>215</v>
      </c>
      <c r="L46" s="24">
        <v>4</v>
      </c>
      <c r="M46" s="24">
        <v>5</v>
      </c>
      <c r="N46" s="33" t="s">
        <v>296</v>
      </c>
      <c r="O46" s="8" t="str">
        <f>CONCATENATE("10.",TEXT(128+BITWISE_AND(G18,G68)/4,0),".",TEXT(BITWISE_AND(G69,G18)*64+M46*8+BITWISE_AND(G71,G19)/4,0),".",TEXT(BITWISE_AND(G72,G19)*64+J42*10+L46,0))</f>
        <v>10.128.104.98</v>
      </c>
      <c r="P46" s="21"/>
      <c r="Q46" s="200"/>
      <c r="R46" s="40" t="s">
        <v>215</v>
      </c>
      <c r="S46" s="1">
        <v>4</v>
      </c>
      <c r="T46" s="1">
        <v>3</v>
      </c>
      <c r="U46" s="33" t="s">
        <v>297</v>
      </c>
      <c r="V46" s="9" t="str">
        <f>CONCATENATE("10.",TEXT(128+BITWISE_AND(G18,G68)/4,0),".",TEXT(BITWISE_AND(G69,G18)*64+T46*8+BITWISE_AND(G71,G19)/4,0),".",TEXT(BITWISE_AND(G72,G19)*64+Q42*10+S46,0))</f>
        <v>10.128.88.118</v>
      </c>
      <c r="W46" s="22"/>
      <c r="X46" s="35"/>
      <c r="Y46" s="19"/>
      <c r="Z46" s="192"/>
      <c r="AA46" s="24" t="s">
        <v>215</v>
      </c>
      <c r="AB46" s="24">
        <v>4</v>
      </c>
      <c r="AC46" s="24">
        <v>5</v>
      </c>
      <c r="AD46" s="32" t="s">
        <v>298</v>
      </c>
      <c r="AE46" s="8" t="str">
        <f>CONCATENATE("10.",TEXT(128+BITWISE_AND(AD18,G68)/4,0),".",TEXT(BITWISE_AND(G69,AD18)*64+AC46*8+BITWISE_AND(G71,AD19)/4,0),".",TEXT(BITWISE_AND(G72,AD19)*64+Z42*10+AB46,0))</f>
        <v>10.128.40.78</v>
      </c>
      <c r="AF46" s="19"/>
      <c r="AG46" s="4"/>
      <c r="AH46" s="4"/>
      <c r="AI46" s="4"/>
      <c r="AJ46" s="4"/>
      <c r="AK46" s="4"/>
      <c r="AL46" s="4"/>
      <c r="AM46" s="22"/>
      <c r="AN46" s="35"/>
      <c r="AO46" s="19"/>
      <c r="AP46" s="192"/>
      <c r="AQ46" s="24" t="s">
        <v>215</v>
      </c>
      <c r="AR46" s="24">
        <v>4</v>
      </c>
      <c r="AS46" s="24">
        <v>5</v>
      </c>
      <c r="AT46" s="32" t="s">
        <v>298</v>
      </c>
      <c r="AU46" s="8" t="str">
        <f>CONCATENATE("10.",TEXT(128+BITWISE_AND(AT18,G68)/4,0),".",TEXT(BITWISE_AND(G69,AT18)*64+AS46*8+BITWISE_AND(G71,AT19)/4,0),".",TEXT(BITWISE_AND(G72,AT19)*64+AP42*10+AR46,0))</f>
        <v>10.128.168.142</v>
      </c>
      <c r="AV46" s="22"/>
      <c r="AX46" s="19"/>
      <c r="AY46" s="192"/>
      <c r="AZ46" s="24" t="s">
        <v>215</v>
      </c>
      <c r="BA46" s="24">
        <v>4</v>
      </c>
      <c r="BB46" s="24">
        <v>5</v>
      </c>
      <c r="BC46" s="32" t="s">
        <v>298</v>
      </c>
      <c r="BD46" s="8" t="str">
        <f>CONCATENATE("10.",TEXT(128+BITWISE_AND(BC18,G68)/4,0),".",TEXT(BITWISE_AND(G69,BC18)*64+BB46*8+BITWISE_AND(G71,BC19)/4,0),".",TEXT(BITWISE_AND(G72,BC19)*64+AY42*10+BA46,0))</f>
        <v>10.128.170.78</v>
      </c>
      <c r="BE46" s="22"/>
      <c r="BG46" s="19"/>
      <c r="BH46" s="192"/>
      <c r="BI46" s="24" t="s">
        <v>215</v>
      </c>
      <c r="BJ46" s="24">
        <v>4</v>
      </c>
      <c r="BK46" s="24">
        <v>5</v>
      </c>
      <c r="BL46" s="32" t="s">
        <v>298</v>
      </c>
      <c r="BM46" s="8" t="str">
        <f>CONCATENATE("10.",TEXT(128+BITWISE_AND(BL18,G68)/4,0),".",TEXT(BITWISE_AND(G69,BL18)*64+BK46*8+BITWISE_AND(G71,BL19)/4,0),".",TEXT(BITWISE_AND(G72,BL19)*64+BH42*10+BJ46,0))</f>
        <v>10.128.170.206</v>
      </c>
      <c r="BN46" s="22"/>
      <c r="BP46" s="19"/>
      <c r="BQ46" s="192"/>
      <c r="BR46" s="24" t="s">
        <v>215</v>
      </c>
      <c r="BS46" s="24">
        <v>4</v>
      </c>
      <c r="BT46" s="24">
        <v>5</v>
      </c>
      <c r="BU46" s="32" t="s">
        <v>298</v>
      </c>
      <c r="BV46" s="8" t="str">
        <f>CONCATENATE("10.",TEXT(128+BITWISE_AND(BU18,G68)/4,0),".",TEXT(BITWISE_AND(G69,BU18)*64+BT46*8+BITWISE_AND(G71,BU19)/4,0),".",TEXT(BITWISE_AND(G72,BU19)*64+BQ42*10+BS46,0))</f>
        <v>10.128.171.14</v>
      </c>
      <c r="BW46" s="22"/>
      <c r="BX46" s="35"/>
      <c r="BY46" s="19"/>
      <c r="BZ46" s="192"/>
      <c r="CA46" s="24" t="s">
        <v>215</v>
      </c>
      <c r="CB46" s="24">
        <v>4</v>
      </c>
      <c r="CC46" s="24">
        <v>5</v>
      </c>
      <c r="CD46" s="32" t="s">
        <v>298</v>
      </c>
      <c r="CE46" s="8" t="str">
        <f>CONCATENATE("10.",TEXT(128+BITWISE_AND(CD18,G68)/4,0),".",TEXT(BITWISE_AND(G69,CD18)*64+CC46*8+BITWISE_AND(G71,CD19)/4,0),".",TEXT(BITWISE_AND(G72,CD19)*64+BZ42*10+CB46,0))</f>
        <v>10.128.171.78</v>
      </c>
      <c r="CF46" s="19"/>
      <c r="CG46" s="192"/>
      <c r="CH46" s="24" t="s">
        <v>215</v>
      </c>
      <c r="CI46" s="24">
        <v>4</v>
      </c>
      <c r="CJ46" s="24">
        <v>5</v>
      </c>
      <c r="CK46" s="32" t="s">
        <v>299</v>
      </c>
      <c r="CL46" s="8" t="str">
        <f>CONCATENATE("10.",TEXT(128+BITWISE_AND(CD18,G68)/4,0),".",TEXT(BITWISE_AND(G69,CD18)*64+CJ46*8+BITWISE_AND(G71,CD19)/4,0),".",TEXT(BITWISE_AND(G72,CD19)*64+CG42*10+CI46,0))</f>
        <v>10.128.171.98</v>
      </c>
      <c r="CM46" s="22"/>
      <c r="CN46" s="35"/>
      <c r="CO46" s="19"/>
      <c r="CP46" s="192"/>
      <c r="CQ46" s="24" t="s">
        <v>215</v>
      </c>
      <c r="CR46" s="24">
        <v>4</v>
      </c>
      <c r="CS46" s="24">
        <v>5</v>
      </c>
      <c r="CT46" s="32" t="s">
        <v>298</v>
      </c>
      <c r="CU46" s="8" t="str">
        <f>CONCATENATE("10.",TEXT(128+BITWISE_AND(CT18,G68)/4,0),".",TEXT(BITWISE_AND(G69,CT18)*64+CS46*8+BITWISE_AND(G71,CT19)/4,0),".",TEXT(BITWISE_AND(G72,CT19)*64+CP42*10+CR46,0))</f>
        <v>10.128.171.142</v>
      </c>
      <c r="CV46" s="22"/>
      <c r="CX46" s="19"/>
      <c r="CY46" s="192"/>
      <c r="CZ46" s="24" t="s">
        <v>215</v>
      </c>
      <c r="DA46" s="24">
        <v>4</v>
      </c>
      <c r="DB46" s="24">
        <v>5</v>
      </c>
      <c r="DC46" s="32" t="s">
        <v>298</v>
      </c>
      <c r="DD46" s="8" t="str">
        <f>CONCATENATE("10.",TEXT(128+BITWISE_AND(DC18,G68)/4,0),".",TEXT(BITWISE_AND(G69,DC18)*64+DB46*8+BITWISE_AND(G71,DC19)/4,0),".",TEXT(BITWISE_AND(G72,DC19)*64+CY42*10+DA46,0))</f>
        <v>10.128.172.14</v>
      </c>
      <c r="DE46" s="22"/>
      <c r="DG46" s="19"/>
      <c r="DH46" s="192"/>
      <c r="DI46" s="24" t="s">
        <v>215</v>
      </c>
      <c r="DJ46" s="24">
        <v>4</v>
      </c>
      <c r="DK46" s="24">
        <v>5</v>
      </c>
      <c r="DL46" s="32" t="s">
        <v>298</v>
      </c>
      <c r="DM46" s="8" t="str">
        <f>CONCATENATE("10.",TEXT(128+BITWISE_AND(DL18,G68)/4,0),".",TEXT(BITWISE_AND(G69,DL18)*64+DK46*8+BITWISE_AND(G71,DL19)/4,0),".",TEXT(BITWISE_AND(G72,DL19)*64+DH42*10+DJ46,0))</f>
        <v>10.128.172.78</v>
      </c>
      <c r="DN46" s="21"/>
      <c r="DO46" s="209"/>
      <c r="DP46" s="40" t="s">
        <v>215</v>
      </c>
      <c r="DQ46" s="1">
        <v>4</v>
      </c>
      <c r="DR46" s="1">
        <v>1</v>
      </c>
      <c r="DS46" s="32" t="s">
        <v>300</v>
      </c>
      <c r="DT46" s="9" t="str">
        <f>CONCATENATE("10.",TEXT(128+BITWISE_AND(DL18,G68)/4,0),".",TEXT(BITWISE_AND(G69,DL18)*64+DR46*8+BITWISE_AND(G71,DL19)/4,0),".",TEXT(BITWISE_AND(G72,DL19)*64+DO42*10+DQ46,0))</f>
        <v>10.128.140.98</v>
      </c>
      <c r="DU46" s="22"/>
    </row>
    <row r="47" spans="2:125">
      <c r="B47" s="19"/>
      <c r="C47" s="192"/>
      <c r="D47" s="40" t="s">
        <v>221</v>
      </c>
      <c r="E47" s="24">
        <v>5</v>
      </c>
      <c r="F47" s="24">
        <v>4</v>
      </c>
      <c r="G47" s="33" t="s">
        <v>184</v>
      </c>
      <c r="H47" s="161" t="str">
        <f>CONCATENATE("10.",TEXT(128+BITWISE_AND(G18,G68)/4,0),".",TEXT((BITWISE_AND(G69,G18)*64+BITWISE_AND(G71,0)/4)+4*8,0),".",TEXT(20,0))</f>
        <v>10.128.96.20</v>
      </c>
      <c r="I47" s="21"/>
      <c r="J47" s="192"/>
      <c r="K47" s="24" t="s">
        <v>221</v>
      </c>
      <c r="L47" s="24">
        <v>5</v>
      </c>
      <c r="M47" s="24">
        <v>1</v>
      </c>
      <c r="N47" s="1" t="s">
        <v>301</v>
      </c>
      <c r="O47" s="8" t="str">
        <f>CONCATENATE("10.",TEXT(128+BITWISE_AND(G18,G68)/4,0),".",TEXT(BITWISE_AND(G69,G18)*64+M47*8+BITWISE_AND(G71,G19)/4,0),".",TEXT(BITWISE_AND(G72,G19)*64+J42*10+L47,0))</f>
        <v>10.128.72.99</v>
      </c>
      <c r="P47" s="21"/>
      <c r="Q47" s="200"/>
      <c r="R47" s="40" t="s">
        <v>221</v>
      </c>
      <c r="S47" s="1">
        <v>5</v>
      </c>
      <c r="T47" s="1">
        <v>3</v>
      </c>
      <c r="U47" s="1" t="s">
        <v>302</v>
      </c>
      <c r="V47" s="9" t="str">
        <f>CONCATENATE("10.",TEXT(128+BITWISE_AND(G18,G68)/4,0),".",TEXT(BITWISE_AND(G69,G18)*64+T47*8+BITWISE_AND(G71,G19)/4,0),".",TEXT(BITWISE_AND(G72,G19)*64+Q42*10+S47,0))</f>
        <v>10.128.88.119</v>
      </c>
      <c r="W47" s="22"/>
      <c r="X47" s="35"/>
      <c r="Y47" s="19"/>
      <c r="Z47" s="192"/>
      <c r="AA47" s="24" t="s">
        <v>221</v>
      </c>
      <c r="AB47" s="24">
        <v>5</v>
      </c>
      <c r="AC47" s="24">
        <v>5</v>
      </c>
      <c r="AD47" s="32" t="s">
        <v>303</v>
      </c>
      <c r="AE47" s="8" t="str">
        <f>CONCATENATE("10.",TEXT(128+BITWISE_AND(AD18,G68)/4,0),".",TEXT(BITWISE_AND(G69,AD18)*64+AC47*8+BITWISE_AND(G71,AD19)/4,0),".",TEXT(BITWISE_AND(G72,AD19)*64+Z42*10+AB47,0))</f>
        <v>10.128.40.79</v>
      </c>
      <c r="AF47" s="19"/>
      <c r="AG47" s="4"/>
      <c r="AH47" s="4"/>
      <c r="AI47" s="4"/>
      <c r="AJ47" s="4"/>
      <c r="AK47" s="4"/>
      <c r="AL47" s="4"/>
      <c r="AM47" s="22"/>
      <c r="AN47" s="35"/>
      <c r="AO47" s="19"/>
      <c r="AP47" s="192"/>
      <c r="AQ47" s="24" t="s">
        <v>221</v>
      </c>
      <c r="AR47" s="24">
        <v>5</v>
      </c>
      <c r="AS47" s="24">
        <v>5</v>
      </c>
      <c r="AT47" s="32" t="s">
        <v>303</v>
      </c>
      <c r="AU47" s="8" t="str">
        <f>CONCATENATE("10.",TEXT(128+BITWISE_AND(AT18,G68)/4,0),".",TEXT(BITWISE_AND(G69,AT18)*64+AS47*8+BITWISE_AND(G71,AT19)/4,0),".",TEXT(BITWISE_AND(G72,AT19)*64+AP42*10+AR47,0))</f>
        <v>10.128.168.143</v>
      </c>
      <c r="AV47" s="22"/>
      <c r="AX47" s="19"/>
      <c r="AY47" s="192"/>
      <c r="AZ47" s="24" t="s">
        <v>221</v>
      </c>
      <c r="BA47" s="24">
        <v>5</v>
      </c>
      <c r="BB47" s="24">
        <v>5</v>
      </c>
      <c r="BC47" s="32" t="s">
        <v>303</v>
      </c>
      <c r="BD47" s="8" t="str">
        <f>CONCATENATE("10.",TEXT(128+BITWISE_AND(BC18,G68)/4,0),".",TEXT(BITWISE_AND(G69,BC18)*64+BB47*8+BITWISE_AND(G71,BC19)/4,0),".",TEXT(BITWISE_AND(G72,BC19)*64+AY42*10+BA47,0))</f>
        <v>10.128.170.79</v>
      </c>
      <c r="BE47" s="22"/>
      <c r="BG47" s="19"/>
      <c r="BH47" s="192"/>
      <c r="BI47" s="24" t="s">
        <v>221</v>
      </c>
      <c r="BJ47" s="24">
        <v>5</v>
      </c>
      <c r="BK47" s="24">
        <v>5</v>
      </c>
      <c r="BL47" s="32" t="s">
        <v>303</v>
      </c>
      <c r="BM47" s="8" t="str">
        <f>CONCATENATE("10.",TEXT(128+BITWISE_AND(BL18,G68)/4,0),".",TEXT(BITWISE_AND(G69,BL18)*64+BK47*8+BITWISE_AND(G71,BL19)/4,0),".",TEXT(BITWISE_AND(G72,BL19)*64+BH42*10+BJ47,0))</f>
        <v>10.128.170.207</v>
      </c>
      <c r="BN47" s="22"/>
      <c r="BP47" s="19"/>
      <c r="BQ47" s="192"/>
      <c r="BR47" s="24" t="s">
        <v>221</v>
      </c>
      <c r="BS47" s="24">
        <v>5</v>
      </c>
      <c r="BT47" s="24">
        <v>5</v>
      </c>
      <c r="BU47" s="32" t="s">
        <v>303</v>
      </c>
      <c r="BV47" s="8" t="str">
        <f>CONCATENATE("10.",TEXT(128+BITWISE_AND(BU18,G68)/4,0),".",TEXT(BITWISE_AND(G69,BU18)*64+BT47*8+BITWISE_AND(G71,BU19)/4,0),".",TEXT(BITWISE_AND(G72,BU19)*64+BQ42*10+BS47,0))</f>
        <v>10.128.171.15</v>
      </c>
      <c r="BW47" s="22"/>
      <c r="BX47" s="35"/>
      <c r="BY47" s="19"/>
      <c r="BZ47" s="192"/>
      <c r="CA47" s="24" t="s">
        <v>221</v>
      </c>
      <c r="CB47" s="24">
        <v>5</v>
      </c>
      <c r="CC47" s="24">
        <v>5</v>
      </c>
      <c r="CD47" s="32" t="s">
        <v>303</v>
      </c>
      <c r="CE47" s="8" t="str">
        <f>CONCATENATE("10.",TEXT(128+BITWISE_AND(CD18,G68)/4,0),".",TEXT(BITWISE_AND(G69,CD18)*64+CC47*8+BITWISE_AND(G71,CD19)/4,0),".",TEXT(BITWISE_AND(G72,CD19)*64+BZ42*10+CB47,0))</f>
        <v>10.128.171.79</v>
      </c>
      <c r="CF47" s="19"/>
      <c r="CG47" s="192"/>
      <c r="CH47" s="24" t="s">
        <v>221</v>
      </c>
      <c r="CI47" s="24">
        <v>5</v>
      </c>
      <c r="CJ47" s="24">
        <v>5</v>
      </c>
      <c r="CK47" s="32" t="s">
        <v>304</v>
      </c>
      <c r="CL47" s="8" t="str">
        <f>CONCATENATE("10.",TEXT(128+BITWISE_AND(CD18,G68)/4,0),".",TEXT(BITWISE_AND(G69,CD18)*64+CJ47*8+BITWISE_AND(G71,CD19)/4,0),".",TEXT(BITWISE_AND(G72,CD19)*64+CG42*10+CI47,0))</f>
        <v>10.128.171.99</v>
      </c>
      <c r="CM47" s="22"/>
      <c r="CN47" s="35"/>
      <c r="CO47" s="19"/>
      <c r="CP47" s="192"/>
      <c r="CQ47" s="24" t="s">
        <v>221</v>
      </c>
      <c r="CR47" s="24">
        <v>5</v>
      </c>
      <c r="CS47" s="24">
        <v>5</v>
      </c>
      <c r="CT47" s="32" t="s">
        <v>303</v>
      </c>
      <c r="CU47" s="8" t="str">
        <f>CONCATENATE("10.",TEXT(128+BITWISE_AND(CT18,G68)/4,0),".",TEXT(BITWISE_AND(G69,CT18)*64+CS47*8+BITWISE_AND(G71,CT19)/4,0),".",TEXT(BITWISE_AND(G72,CT19)*64+CP42*10+CR47,0))</f>
        <v>10.128.171.143</v>
      </c>
      <c r="CV47" s="22"/>
      <c r="CX47" s="19"/>
      <c r="CY47" s="192"/>
      <c r="CZ47" s="24" t="s">
        <v>221</v>
      </c>
      <c r="DA47" s="24">
        <v>5</v>
      </c>
      <c r="DB47" s="24">
        <v>5</v>
      </c>
      <c r="DC47" s="32" t="s">
        <v>303</v>
      </c>
      <c r="DD47" s="8" t="str">
        <f>CONCATENATE("10.",TEXT(128+BITWISE_AND(DC18,G68)/4,0),".",TEXT(BITWISE_AND(G69,DC18)*64+DB47*8+BITWISE_AND(G71,DC19)/4,0),".",TEXT(BITWISE_AND(G72,DC19)*64+CY42*10+DA47,0))</f>
        <v>10.128.172.15</v>
      </c>
      <c r="DE47" s="22"/>
      <c r="DG47" s="19"/>
      <c r="DH47" s="192"/>
      <c r="DI47" s="24" t="s">
        <v>221</v>
      </c>
      <c r="DJ47" s="24">
        <v>5</v>
      </c>
      <c r="DK47" s="24">
        <v>5</v>
      </c>
      <c r="DL47" s="32" t="s">
        <v>303</v>
      </c>
      <c r="DM47" s="8" t="str">
        <f>CONCATENATE("10.",TEXT(128+BITWISE_AND(DL18,G68)/4,0),".",TEXT(BITWISE_AND(G69,DL18)*64+DK47*8+BITWISE_AND(G71,DL19)/4,0),".",TEXT(BITWISE_AND(G72,DL19)*64+DH42*10+DJ47,0))</f>
        <v>10.128.172.79</v>
      </c>
      <c r="DN47" s="21"/>
      <c r="DO47" s="209"/>
      <c r="DP47" s="40" t="s">
        <v>221</v>
      </c>
      <c r="DQ47" s="1">
        <v>5</v>
      </c>
      <c r="DR47" s="1">
        <v>5</v>
      </c>
      <c r="DS47" s="32" t="s">
        <v>305</v>
      </c>
      <c r="DT47" s="9" t="str">
        <f>CONCATENATE("10.",TEXT(128+BITWISE_AND(DL18,G68)/4,0),".",TEXT(BITWISE_AND(G69,DL18)*64+DR47*8+BITWISE_AND(G71,DL19)/4,0),".",TEXT(BITWISE_AND(G72,DL19)*64+DO42*10+DQ47,0))</f>
        <v>10.128.172.99</v>
      </c>
      <c r="DU47" s="22"/>
    </row>
    <row r="48" spans="2:125">
      <c r="B48" s="19"/>
      <c r="C48" s="192"/>
      <c r="D48" s="40" t="s">
        <v>226</v>
      </c>
      <c r="E48" s="24">
        <v>6</v>
      </c>
      <c r="F48" s="24">
        <v>3</v>
      </c>
      <c r="G48" s="33" t="s">
        <v>306</v>
      </c>
      <c r="H48" s="8" t="str">
        <f>CONCATENATE("10.",TEXT(128+BITWISE_AND(G18,G68)/4,0),".",TEXT(BITWISE_AND(G69,G18)*64+F48*8+BITWISE_AND(G71,G19)/4,0),".",TEXT(BITWISE_AND(G72,G19)*64+C42*10+E48,0))</f>
        <v>10.128.88.80</v>
      </c>
      <c r="I48" s="21"/>
      <c r="J48" s="192"/>
      <c r="K48" s="24" t="s">
        <v>226</v>
      </c>
      <c r="L48" s="24">
        <v>6</v>
      </c>
      <c r="M48" s="24">
        <v>1</v>
      </c>
      <c r="N48" s="1" t="s">
        <v>307</v>
      </c>
      <c r="O48" s="8" t="str">
        <f>CONCATENATE("10.",TEXT(128+BITWISE_AND(G18,G68)/4,0),".",TEXT(BITWISE_AND(G69,G18)*64+M48*8+BITWISE_AND(G71,G19)/4,0),".",TEXT(BITWISE_AND(G72,G19)*64+J42*10+L48,0))</f>
        <v>10.128.72.100</v>
      </c>
      <c r="P48" s="21"/>
      <c r="Q48" s="200"/>
      <c r="R48" s="40" t="s">
        <v>226</v>
      </c>
      <c r="S48" s="1">
        <v>6</v>
      </c>
      <c r="T48" s="1">
        <v>3</v>
      </c>
      <c r="U48" s="117" t="s">
        <v>308</v>
      </c>
      <c r="V48" s="9" t="str">
        <f>CONCATENATE("10.",TEXT(128+BITWISE_AND(G18,G68)/4,0),".",TEXT(BITWISE_AND(G69,G18)*64+T48*8+BITWISE_AND(G71,G19)/4,0),".",TEXT(BITWISE_AND(G72,G19)*64+Q42*10+S48,0))</f>
        <v>10.128.88.120</v>
      </c>
      <c r="W48" s="22"/>
      <c r="X48" s="35"/>
      <c r="Y48" s="19"/>
      <c r="Z48" s="192"/>
      <c r="AA48" s="24" t="s">
        <v>226</v>
      </c>
      <c r="AB48" s="24">
        <v>6</v>
      </c>
      <c r="AC48" s="24">
        <v>5</v>
      </c>
      <c r="AD48" s="32" t="s">
        <v>309</v>
      </c>
      <c r="AE48" s="8" t="str">
        <f>CONCATENATE("10.",TEXT(128+BITWISE_AND(AD18,G68)/4,0),".",TEXT(BITWISE_AND(G69,AD18)*64+AC48*8+BITWISE_AND(G71,AD19)/4,0),".",TEXT(BITWISE_AND(G72,AD19)*64+Z42*10+AB48,0))</f>
        <v>10.128.40.80</v>
      </c>
      <c r="AF48" s="19"/>
      <c r="AG48" s="4"/>
      <c r="AH48" s="4"/>
      <c r="AI48" s="4"/>
      <c r="AJ48" s="4"/>
      <c r="AK48" s="4"/>
      <c r="AL48" s="4"/>
      <c r="AM48" s="22"/>
      <c r="AN48" s="35"/>
      <c r="AO48" s="19"/>
      <c r="AP48" s="192"/>
      <c r="AQ48" s="24" t="s">
        <v>226</v>
      </c>
      <c r="AR48" s="24">
        <v>6</v>
      </c>
      <c r="AS48" s="24">
        <v>5</v>
      </c>
      <c r="AT48" s="32" t="s">
        <v>309</v>
      </c>
      <c r="AU48" s="8" t="str">
        <f>CONCATENATE("10.",TEXT(128+BITWISE_AND(AT18,G68)/4,0),".",TEXT(BITWISE_AND(G69,AT18)*64+AS48*8+BITWISE_AND(G71,AT19)/4,0),".",TEXT(BITWISE_AND(G72,AT19)*64+AP42*10+AR48,0))</f>
        <v>10.128.168.144</v>
      </c>
      <c r="AV48" s="22"/>
      <c r="AX48" s="19"/>
      <c r="AY48" s="192"/>
      <c r="AZ48" s="24" t="s">
        <v>226</v>
      </c>
      <c r="BA48" s="24">
        <v>6</v>
      </c>
      <c r="BB48" s="24">
        <v>5</v>
      </c>
      <c r="BC48" s="32" t="s">
        <v>309</v>
      </c>
      <c r="BD48" s="8" t="str">
        <f>CONCATENATE("10.",TEXT(128+BITWISE_AND(BC18,G68)/4,0),".",TEXT(BITWISE_AND(G69,BC18)*64+BB48*8+BITWISE_AND(G71,BC19)/4,0),".",TEXT(BITWISE_AND(G72,BC19)*64+AY42*10+BA48,0))</f>
        <v>10.128.170.80</v>
      </c>
      <c r="BE48" s="22"/>
      <c r="BG48" s="19"/>
      <c r="BH48" s="192"/>
      <c r="BI48" s="24" t="s">
        <v>226</v>
      </c>
      <c r="BJ48" s="24">
        <v>6</v>
      </c>
      <c r="BK48" s="24">
        <v>5</v>
      </c>
      <c r="BL48" s="32" t="s">
        <v>309</v>
      </c>
      <c r="BM48" s="8" t="str">
        <f>CONCATENATE("10.",TEXT(128+BITWISE_AND(BL18,G68)/4,0),".",TEXT(BITWISE_AND(G69,BL18)*64+BK48*8+BITWISE_AND(G71,BL19)/4,0),".",TEXT(BITWISE_AND(G72,BL19)*64+BH42*10+BJ48,0))</f>
        <v>10.128.170.208</v>
      </c>
      <c r="BN48" s="22"/>
      <c r="BP48" s="19"/>
      <c r="BQ48" s="192"/>
      <c r="BR48" s="24" t="s">
        <v>226</v>
      </c>
      <c r="BS48" s="24">
        <v>6</v>
      </c>
      <c r="BT48" s="24">
        <v>5</v>
      </c>
      <c r="BU48" s="32" t="s">
        <v>309</v>
      </c>
      <c r="BV48" s="8" t="str">
        <f>CONCATENATE("10.",TEXT(128+BITWISE_AND(BU18,G68)/4,0),".",TEXT(BITWISE_AND(G69,BU18)*64+BT48*8+BITWISE_AND(G71,BU19)/4,0),".",TEXT(BITWISE_AND(G72,BU19)*64+BQ42*10+BS48,0))</f>
        <v>10.128.171.16</v>
      </c>
      <c r="BW48" s="22"/>
      <c r="BX48" s="35"/>
      <c r="BY48" s="19"/>
      <c r="BZ48" s="192"/>
      <c r="CA48" s="24" t="s">
        <v>226</v>
      </c>
      <c r="CB48" s="24">
        <v>6</v>
      </c>
      <c r="CC48" s="24">
        <v>5</v>
      </c>
      <c r="CD48" s="32" t="s">
        <v>309</v>
      </c>
      <c r="CE48" s="8" t="str">
        <f>CONCATENATE("10.",TEXT(128+BITWISE_AND(CD18,G68)/4,0),".",TEXT(BITWISE_AND(G69,CD18)*64+CC48*8+BITWISE_AND(G71,CD19)/4,0),".",TEXT(BITWISE_AND(G72,CD19)*64+BZ42*10+CB48,0))</f>
        <v>10.128.171.80</v>
      </c>
      <c r="CF48" s="19"/>
      <c r="CG48" s="192"/>
      <c r="CH48" s="24" t="s">
        <v>226</v>
      </c>
      <c r="CI48" s="24">
        <v>6</v>
      </c>
      <c r="CJ48" s="24">
        <v>5</v>
      </c>
      <c r="CK48" s="32" t="s">
        <v>310</v>
      </c>
      <c r="CL48" s="8" t="str">
        <f>CONCATENATE("10.",TEXT(128+BITWISE_AND(CD18,G68)/4,0),".",TEXT(BITWISE_AND(G69,CD18)*64+CJ48*8+BITWISE_AND(G71,CD19)/4,0),".",TEXT(BITWISE_AND(G72,CD19)*64+CG42*10+CI48,0))</f>
        <v>10.128.171.100</v>
      </c>
      <c r="CM48" s="22"/>
      <c r="CN48" s="35"/>
      <c r="CO48" s="19"/>
      <c r="CP48" s="192"/>
      <c r="CQ48" s="24" t="s">
        <v>226</v>
      </c>
      <c r="CR48" s="24">
        <v>6</v>
      </c>
      <c r="CS48" s="24">
        <v>5</v>
      </c>
      <c r="CT48" s="32" t="s">
        <v>309</v>
      </c>
      <c r="CU48" s="8" t="str">
        <f>CONCATENATE("10.",TEXT(128+BITWISE_AND(CT18,G68)/4,0),".",TEXT(BITWISE_AND(G69,CT18)*64+CS48*8+BITWISE_AND(G71,CT19)/4,0),".",TEXT(BITWISE_AND(G72,CT19)*64+CP42*10+CR48,0))</f>
        <v>10.128.171.144</v>
      </c>
      <c r="CV48" s="22"/>
      <c r="CX48" s="19"/>
      <c r="CY48" s="192"/>
      <c r="CZ48" s="24" t="s">
        <v>226</v>
      </c>
      <c r="DA48" s="24">
        <v>6</v>
      </c>
      <c r="DB48" s="24">
        <v>5</v>
      </c>
      <c r="DC48" s="32" t="s">
        <v>309</v>
      </c>
      <c r="DD48" s="8" t="str">
        <f>CONCATENATE("10.",TEXT(128+BITWISE_AND(DC18,G68)/4,0),".",TEXT(BITWISE_AND(G69,DC18)*64+DB48*8+BITWISE_AND(G71,DC19)/4,0),".",TEXT(BITWISE_AND(G72,DC19)*64+CY42*10+DA48,0))</f>
        <v>10.128.172.16</v>
      </c>
      <c r="DE48" s="22"/>
      <c r="DG48" s="19"/>
      <c r="DH48" s="192"/>
      <c r="DI48" s="24" t="s">
        <v>226</v>
      </c>
      <c r="DJ48" s="24">
        <v>6</v>
      </c>
      <c r="DK48" s="24">
        <v>5</v>
      </c>
      <c r="DL48" s="32" t="s">
        <v>309</v>
      </c>
      <c r="DM48" s="8" t="str">
        <f>CONCATENATE("10.",TEXT(128+BITWISE_AND(DL18,G68)/4,0),".",TEXT(BITWISE_AND(G69,DL18)*64+DK48*8+BITWISE_AND(G71,DL19)/4,0),".",TEXT(BITWISE_AND(G72,DL19)*64+DH42*10+DJ48,0))</f>
        <v>10.128.172.80</v>
      </c>
      <c r="DN48" s="21"/>
      <c r="DO48" s="209"/>
      <c r="DP48" s="40" t="s">
        <v>226</v>
      </c>
      <c r="DQ48" s="1">
        <v>6</v>
      </c>
      <c r="DR48" s="1">
        <v>5</v>
      </c>
      <c r="DS48" s="32" t="s">
        <v>311</v>
      </c>
      <c r="DT48" s="9" t="str">
        <f>CONCATENATE("10.",TEXT(128+BITWISE_AND(DL18,G68)/4,0),".",TEXT(BITWISE_AND(G69,DL18)*64+DR48*8+BITWISE_AND(G71,DL19)/4,0),".",TEXT(BITWISE_AND(G72,DL19)*64+DO42*10+DQ48,0))</f>
        <v>10.128.172.100</v>
      </c>
      <c r="DU48" s="22"/>
    </row>
    <row r="49" spans="2:125">
      <c r="B49" s="19"/>
      <c r="C49" s="192"/>
      <c r="D49" s="40" t="s">
        <v>235</v>
      </c>
      <c r="E49" s="24">
        <v>7</v>
      </c>
      <c r="F49" s="24">
        <v>3</v>
      </c>
      <c r="G49" s="33" t="s">
        <v>289</v>
      </c>
      <c r="H49" s="8" t="str">
        <f>CONCATENATE("10.",TEXT(128+BITWISE_AND(G18,G68)/4,0),".",TEXT(BITWISE_AND(G69,G18)*64+F49*8+BITWISE_AND(G71,G19)/4,0),".",TEXT(BITWISE_AND(G72,G19)*64+C42*10+E49,0))</f>
        <v>10.128.88.81</v>
      </c>
      <c r="I49" s="21"/>
      <c r="J49" s="192"/>
      <c r="K49" s="24" t="s">
        <v>235</v>
      </c>
      <c r="L49" s="24">
        <v>7</v>
      </c>
      <c r="M49" s="24">
        <v>1</v>
      </c>
      <c r="N49" s="1" t="s">
        <v>312</v>
      </c>
      <c r="O49" s="8" t="str">
        <f>CONCATENATE("10.",TEXT(128+BITWISE_AND(G18,G68)/4,0),".",TEXT(BITWISE_AND(G69,G18)*64+M49*8+BITWISE_AND(G71,G19)/4,0),".",TEXT(BITWISE_AND(G72,G19)*64+J42*10+L49,0))</f>
        <v>10.128.72.101</v>
      </c>
      <c r="P49" s="21"/>
      <c r="Q49" s="200"/>
      <c r="R49" s="40" t="s">
        <v>235</v>
      </c>
      <c r="S49" s="1">
        <v>7</v>
      </c>
      <c r="T49" s="1">
        <v>7</v>
      </c>
      <c r="U49" s="31" t="s">
        <v>313</v>
      </c>
      <c r="V49" s="9" t="str">
        <f>CONCATENATE("10.",TEXT(128+BITWISE_AND(G18,G68)/4,0),".",TEXT(BITWISE_AND(G69,G18)*64+T49*8+BITWISE_AND(G71,G19)/4,0),".",TEXT(BITWISE_AND(G72,G19)*64+Q42*10+S49,0))</f>
        <v>10.128.120.121</v>
      </c>
      <c r="W49" s="22"/>
      <c r="X49" s="35"/>
      <c r="Y49" s="19"/>
      <c r="Z49" s="192"/>
      <c r="AA49" s="24" t="s">
        <v>235</v>
      </c>
      <c r="AB49" s="24">
        <v>7</v>
      </c>
      <c r="AC49" s="24">
        <v>0</v>
      </c>
      <c r="AD49" s="32" t="s">
        <v>285</v>
      </c>
      <c r="AE49" s="8" t="str">
        <f>CONCATENATE("10.",TEXT(128+BITWISE_AND(AD18,G68)/4,0),".",TEXT(BITWISE_AND(G69,AD18)*64+AC49*8+BITWISE_AND(G71,AD19)/4,0),".",TEXT(BITWISE_AND(G72,AD19)*64+Z42*10+AB49,0))</f>
        <v>10.128.0.81</v>
      </c>
      <c r="AF49" s="19"/>
      <c r="AG49" s="4"/>
      <c r="AH49" s="4"/>
      <c r="AI49" s="4"/>
      <c r="AJ49" s="4"/>
      <c r="AK49" s="4"/>
      <c r="AL49" s="4"/>
      <c r="AM49" s="22"/>
      <c r="AN49" s="35"/>
      <c r="AO49" s="19"/>
      <c r="AP49" s="192"/>
      <c r="AQ49" s="24" t="s">
        <v>235</v>
      </c>
      <c r="AR49" s="24">
        <v>7</v>
      </c>
      <c r="AS49" s="24">
        <v>3</v>
      </c>
      <c r="AT49" s="32" t="s">
        <v>315</v>
      </c>
      <c r="AU49" s="8" t="str">
        <f>CONCATENATE("10.",TEXT(128+BITWISE_AND(AT18,G68)/4,0),".",TEXT(BITWISE_AND(G69,AT18)*64+AS49*8+BITWISE_AND(G71,AT19)/4,0),".",TEXT(BITWISE_AND(G72,AT19)*64+AP42*10+AR49,0))</f>
        <v>10.128.152.145</v>
      </c>
      <c r="AV49" s="22"/>
      <c r="AX49" s="19"/>
      <c r="AY49" s="192"/>
      <c r="AZ49" s="24" t="s">
        <v>235</v>
      </c>
      <c r="BA49" s="24">
        <v>7</v>
      </c>
      <c r="BB49" s="24">
        <v>7</v>
      </c>
      <c r="BC49" s="1"/>
      <c r="BD49" s="8" t="str">
        <f>CONCATENATE("10.",TEXT(128+BITWISE_AND(BC18,G68)/4,0),".",TEXT(BITWISE_AND(G69,BC18)*64+BB49*8+BITWISE_AND(G71,BC19)/4,0),".",TEXT(BITWISE_AND(G72,BC19)*64+AY42*10+BA49,0))</f>
        <v>10.128.186.81</v>
      </c>
      <c r="BE49" s="22"/>
      <c r="BG49" s="19"/>
      <c r="BH49" s="192"/>
      <c r="BI49" s="24" t="s">
        <v>235</v>
      </c>
      <c r="BJ49" s="24">
        <v>7</v>
      </c>
      <c r="BK49" s="24">
        <v>7</v>
      </c>
      <c r="BL49" s="1"/>
      <c r="BM49" s="8" t="str">
        <f>CONCATENATE("10.",TEXT(128+BITWISE_AND(BL18,G68)/4,0),".",TEXT(BITWISE_AND(G69,BL18)*64+BK49*8+BITWISE_AND(G71,BL19)/4,0),".",TEXT(BITWISE_AND(G72,BL19)*64+BH42*10+BJ49,0))</f>
        <v>10.128.186.209</v>
      </c>
      <c r="BN49" s="22"/>
      <c r="BP49" s="19"/>
      <c r="BQ49" s="192"/>
      <c r="BR49" s="24" t="s">
        <v>235</v>
      </c>
      <c r="BS49" s="24">
        <v>7</v>
      </c>
      <c r="BT49" s="24">
        <v>7</v>
      </c>
      <c r="BU49" s="1"/>
      <c r="BV49" s="8" t="str">
        <f>CONCATENATE("10.",TEXT(128+BITWISE_AND(BU18,G68)/4,0),".",TEXT(BITWISE_AND(G69,BU18)*64+BT49*8+BITWISE_AND(G71,BU19)/4,0),".",TEXT(BITWISE_AND(G72,BU19)*64+BQ42*10+BS49,0))</f>
        <v>10.128.187.17</v>
      </c>
      <c r="BW49" s="22"/>
      <c r="BX49" s="35"/>
      <c r="BY49" s="19"/>
      <c r="BZ49" s="192"/>
      <c r="CA49" s="24" t="s">
        <v>235</v>
      </c>
      <c r="CB49" s="24">
        <v>7</v>
      </c>
      <c r="CC49" s="24">
        <v>3</v>
      </c>
      <c r="CD49" s="33" t="s">
        <v>213</v>
      </c>
      <c r="CE49" s="8" t="str">
        <f>CONCATENATE("10.",TEXT(128+BITWISE_AND(CD18,G68)/4,0),".",TEXT(BITWISE_AND(G69,CD18)*64+CC49*8+BITWISE_AND(G71,CD19)/4,0),".",TEXT(BITWISE_AND(G72,CD19)*64+BZ42*10+CB49,0))</f>
        <v>10.128.155.81</v>
      </c>
      <c r="CF49" s="19"/>
      <c r="CG49" s="192"/>
      <c r="CH49" s="24" t="s">
        <v>235</v>
      </c>
      <c r="CI49" s="24">
        <v>7</v>
      </c>
      <c r="CJ49" s="24">
        <v>5</v>
      </c>
      <c r="CK49" s="32" t="s">
        <v>316</v>
      </c>
      <c r="CL49" s="8" t="str">
        <f>CONCATENATE("10.",TEXT(128+BITWISE_AND(CD18,G68)/4,0),".",TEXT(BITWISE_AND(G69,CD18)*64+CJ49*8+BITWISE_AND(G71,CD19)/4,0),".",TEXT(BITWISE_AND(G72,CD19)*64+CG42*10+CI49,0))</f>
        <v>10.128.171.101</v>
      </c>
      <c r="CM49" s="22"/>
      <c r="CN49" s="35"/>
      <c r="CO49" s="19"/>
      <c r="CP49" s="192"/>
      <c r="CQ49" s="24" t="s">
        <v>235</v>
      </c>
      <c r="CR49" s="24">
        <v>7</v>
      </c>
      <c r="CS49" s="24">
        <v>7</v>
      </c>
      <c r="CT49" s="31"/>
      <c r="CU49" s="8" t="str">
        <f>CONCATENATE("10.",TEXT(128+BITWISE_AND(CT18,G68)/4,0),".",TEXT(BITWISE_AND(G69,CT18)*64+CS49*8+BITWISE_AND(G71,CT19)/4,0),".",TEXT(BITWISE_AND(G72,CT19)*64+CP42*10+CR49,0))</f>
        <v>10.128.187.145</v>
      </c>
      <c r="CV49" s="22"/>
      <c r="CX49" s="19"/>
      <c r="CY49" s="192"/>
      <c r="CZ49" s="24" t="s">
        <v>235</v>
      </c>
      <c r="DA49" s="24">
        <v>7</v>
      </c>
      <c r="DB49" s="24">
        <v>3</v>
      </c>
      <c r="DC49" s="32" t="s">
        <v>315</v>
      </c>
      <c r="DD49" s="8" t="str">
        <f>CONCATENATE("10.",TEXT(128+BITWISE_AND(DC18,G68)/4,0),".",TEXT(BITWISE_AND(G69,DC18)*64+DB49*8+BITWISE_AND(G71,DC19)/4,0),".",TEXT(BITWISE_AND(G72,DC19)*64+CY42*10+DA49,0))</f>
        <v>10.128.156.17</v>
      </c>
      <c r="DE49" s="22"/>
      <c r="DG49" s="19"/>
      <c r="DH49" s="192"/>
      <c r="DI49" s="24" t="s">
        <v>235</v>
      </c>
      <c r="DJ49" s="24">
        <v>7</v>
      </c>
      <c r="DK49" s="24">
        <v>7</v>
      </c>
      <c r="DL49" s="32" t="s">
        <v>317</v>
      </c>
      <c r="DM49" s="8" t="str">
        <f>CONCATENATE("10.",TEXT(128+BITWISE_AND(DL18,G68)/4,0),".",TEXT(BITWISE_AND(G69,DL18)*64+DK49*8+BITWISE_AND(G71,DL19)/4,0),".",TEXT(BITWISE_AND(G72,DL19)*64+DH42*10+DJ49,0))</f>
        <v>10.128.188.81</v>
      </c>
      <c r="DN49" s="21"/>
      <c r="DO49" s="209"/>
      <c r="DP49" s="40" t="s">
        <v>235</v>
      </c>
      <c r="DQ49" s="1">
        <v>7</v>
      </c>
      <c r="DR49" s="1">
        <v>3</v>
      </c>
      <c r="DS49" s="32" t="s">
        <v>318</v>
      </c>
      <c r="DT49" s="9" t="str">
        <f>CONCATENATE("10.",TEXT(128+BITWISE_AND(DL18,G68)/4,0),".",TEXT(BITWISE_AND(G69,DL18)*64+DR49*8+BITWISE_AND(G71,DL19)/4,0),".",TEXT(BITWISE_AND(G72,DL19)*64+DO42*10+DQ49,0))</f>
        <v>10.128.156.101</v>
      </c>
      <c r="DU49" s="22"/>
    </row>
    <row r="50" spans="2:125">
      <c r="B50" s="19"/>
      <c r="C50" s="192"/>
      <c r="D50" s="48" t="s">
        <v>243</v>
      </c>
      <c r="E50" s="25">
        <v>8</v>
      </c>
      <c r="F50" s="25">
        <v>1</v>
      </c>
      <c r="G50" s="36" t="s">
        <v>319</v>
      </c>
      <c r="H50" s="10" t="str">
        <f>CONCATENATE("10.",TEXT(128+BITWISE_AND(G18,G68)/4,0),".",TEXT(BITWISE_AND(G69,G18)*64+F50*8+BITWISE_AND(G71,G19)/4,0),".",TEXT(BITWISE_AND(G72,G19)*64+C42*10+E50,0))</f>
        <v>10.128.72.82</v>
      </c>
      <c r="I50" s="21"/>
      <c r="J50" s="192"/>
      <c r="K50" s="25" t="s">
        <v>243</v>
      </c>
      <c r="L50" s="25">
        <v>8</v>
      </c>
      <c r="M50" s="25">
        <v>0</v>
      </c>
      <c r="N50" s="2" t="s">
        <v>320</v>
      </c>
      <c r="O50" s="137" t="str">
        <f>V23</f>
        <v>10.128.127.252</v>
      </c>
      <c r="P50" s="21"/>
      <c r="Q50" s="200"/>
      <c r="R50" s="48" t="s">
        <v>243</v>
      </c>
      <c r="S50" s="2">
        <v>8</v>
      </c>
      <c r="T50" s="2">
        <v>0</v>
      </c>
      <c r="U50" s="2" t="s">
        <v>321</v>
      </c>
      <c r="V50" s="137" t="str">
        <f>O23</f>
        <v>10.128.127.250</v>
      </c>
      <c r="W50" s="22"/>
      <c r="X50" s="35"/>
      <c r="Y50" s="19"/>
      <c r="Z50" s="192"/>
      <c r="AA50" s="25" t="s">
        <v>243</v>
      </c>
      <c r="AB50" s="25">
        <v>8</v>
      </c>
      <c r="AC50" s="25">
        <v>0</v>
      </c>
      <c r="AD50" s="36" t="s">
        <v>322</v>
      </c>
      <c r="AE50" s="137" t="str">
        <f>AL23</f>
        <v>10.128.56.107</v>
      </c>
      <c r="AF50" s="19"/>
      <c r="AG50" s="4"/>
      <c r="AH50" s="4"/>
      <c r="AI50" s="4"/>
      <c r="AJ50" s="4"/>
      <c r="AK50" s="4"/>
      <c r="AL50" s="4"/>
      <c r="AM50" s="22"/>
      <c r="AN50" s="35"/>
      <c r="AO50" s="19"/>
      <c r="AP50" s="192"/>
      <c r="AQ50" s="25" t="s">
        <v>243</v>
      </c>
      <c r="AR50" s="25">
        <v>8</v>
      </c>
      <c r="AS50" s="25">
        <v>7</v>
      </c>
      <c r="AT50" s="2"/>
      <c r="AU50" s="10" t="str">
        <f>CONCATENATE("10.",TEXT(128+BITWISE_AND(AT18,G68)/4,0),".",TEXT(BITWISE_AND(G69,AT18)*64+AS50*8+BITWISE_AND(G71,AT19)/4,0),".",TEXT(BITWISE_AND(G72,AT19)*64+AP42*10+AR50,0))</f>
        <v>10.128.184.146</v>
      </c>
      <c r="AV50" s="22"/>
      <c r="AX50" s="19"/>
      <c r="AY50" s="192"/>
      <c r="AZ50" s="25" t="s">
        <v>243</v>
      </c>
      <c r="BA50" s="25">
        <v>8</v>
      </c>
      <c r="BB50" s="25">
        <v>7</v>
      </c>
      <c r="BC50" s="2"/>
      <c r="BD50" s="10" t="str">
        <f>CONCATENATE("10.",TEXT(128+BITWISE_AND(BC18,G68)/4,0),".",TEXT(BITWISE_AND(G69,BC18)*64+BB50*8+BITWISE_AND(G71,BC19)/4,0),".",TEXT(BITWISE_AND(G72,BC19)*64+AY42*10+BA50,0))</f>
        <v>10.128.186.82</v>
      </c>
      <c r="BE50" s="22"/>
      <c r="BG50" s="19"/>
      <c r="BH50" s="192"/>
      <c r="BI50" s="25" t="s">
        <v>243</v>
      </c>
      <c r="BJ50" s="25">
        <v>8</v>
      </c>
      <c r="BK50" s="25">
        <v>7</v>
      </c>
      <c r="BL50" s="2"/>
      <c r="BM50" s="10" t="str">
        <f>CONCATENATE("10.",TEXT(128+BITWISE_AND(BL18,G68)/4,0),".",TEXT(BITWISE_AND(G69,BL18)*64+BK50*8+BITWISE_AND(G71,BL19)/4,0),".",TEXT(BITWISE_AND(G72,BL19)*64+BH42*10+BJ50,0))</f>
        <v>10.128.186.210</v>
      </c>
      <c r="BN50" s="22"/>
      <c r="BP50" s="19"/>
      <c r="BQ50" s="192"/>
      <c r="BR50" s="25" t="s">
        <v>243</v>
      </c>
      <c r="BS50" s="25">
        <v>8</v>
      </c>
      <c r="BT50" s="25">
        <v>7</v>
      </c>
      <c r="BU50" s="2"/>
      <c r="BV50" s="10" t="str">
        <f>CONCATENATE("10.",TEXT(128+BITWISE_AND(BU18,G68)/4,0),".",TEXT(BITWISE_AND(G69,BU18)*64+BT50*8+BITWISE_AND(G71,BU19)/4,0),".",TEXT(BITWISE_AND(G72,BU19)*64+BQ42*10+BS50,0))</f>
        <v>10.128.187.18</v>
      </c>
      <c r="BW50" s="22"/>
      <c r="BX50" s="35"/>
      <c r="BY50" s="19"/>
      <c r="BZ50" s="192"/>
      <c r="CA50" s="25" t="s">
        <v>243</v>
      </c>
      <c r="CB50" s="25">
        <v>8</v>
      </c>
      <c r="CC50" s="25">
        <v>0</v>
      </c>
      <c r="CD50" s="2" t="s">
        <v>320</v>
      </c>
      <c r="CE50" s="137" t="str">
        <f>CL23</f>
        <v>10.128.191.252</v>
      </c>
      <c r="CF50" s="19"/>
      <c r="CG50" s="192"/>
      <c r="CH50" s="25" t="s">
        <v>243</v>
      </c>
      <c r="CI50" s="25">
        <v>8</v>
      </c>
      <c r="CJ50" s="25">
        <v>0</v>
      </c>
      <c r="CK50" s="2" t="s">
        <v>323</v>
      </c>
      <c r="CL50" s="137" t="str">
        <f>CE23</f>
        <v>10.128.191.250</v>
      </c>
      <c r="CM50" s="22"/>
      <c r="CN50" s="35"/>
      <c r="CO50" s="19"/>
      <c r="CP50" s="192"/>
      <c r="CQ50" s="25" t="s">
        <v>243</v>
      </c>
      <c r="CR50" s="25">
        <v>8</v>
      </c>
      <c r="CS50" s="25">
        <v>7</v>
      </c>
      <c r="CT50" s="2"/>
      <c r="CU50" s="10" t="str">
        <f>CONCATENATE("10.",TEXT(128+BITWISE_AND(CT18,G68)/4,0),".",TEXT(BITWISE_AND(G69,CT18)*64+CS50*8+BITWISE_AND(G71,CT19)/4,0),".",TEXT(BITWISE_AND(G72,CT19)*64+CP42*10+CR50,0))</f>
        <v>10.128.187.146</v>
      </c>
      <c r="CV50" s="22"/>
      <c r="CX50" s="19"/>
      <c r="CY50" s="192"/>
      <c r="CZ50" s="25" t="s">
        <v>243</v>
      </c>
      <c r="DA50" s="25">
        <v>8</v>
      </c>
      <c r="DB50" s="25">
        <v>7</v>
      </c>
      <c r="DC50" s="2"/>
      <c r="DD50" s="10" t="str">
        <f>CONCATENATE("10.",TEXT(128+BITWISE_AND(DC18,G68)/4,0),".",TEXT(BITWISE_AND(G69,DC18)*64+DB50*8+BITWISE_AND(G71,DC19)/4,0),".",TEXT(BITWISE_AND(G72,DC19)*64+CY42*10+DA50,0))</f>
        <v>10.128.188.18</v>
      </c>
      <c r="DE50" s="22"/>
      <c r="DG50" s="19"/>
      <c r="DH50" s="192"/>
      <c r="DI50" s="25" t="s">
        <v>243</v>
      </c>
      <c r="DJ50" s="25">
        <v>8</v>
      </c>
      <c r="DK50" s="25">
        <v>7</v>
      </c>
      <c r="DL50" s="2"/>
      <c r="DM50" s="10" t="str">
        <f>CONCATENATE("10.",TEXT(128+BITWISE_AND(DL18,G68)/4,0),".",TEXT(BITWISE_AND(G69,DL18)*64+DK50*8+BITWISE_AND(G71,DL19)/4,0),".",TEXT(BITWISE_AND(G72,DL19)*64+DH42*10+DJ50,0))</f>
        <v>10.128.188.82</v>
      </c>
      <c r="DN50" s="21"/>
      <c r="DO50" s="209"/>
      <c r="DP50" s="48" t="s">
        <v>243</v>
      </c>
      <c r="DQ50" s="2">
        <v>8</v>
      </c>
      <c r="DR50" s="2">
        <v>7</v>
      </c>
      <c r="DS50" s="77"/>
      <c r="DT50" s="10" t="str">
        <f>CONCATENATE("10.",TEXT(128+BITWISE_AND(DL18,G68)/4,0),".",TEXT(BITWISE_AND(G69,DL18)*64+DR50*8+BITWISE_AND(G71,DL19)/4,0),".",TEXT(BITWISE_AND(G72,DL19)*64+DO42*10+DQ50,0))</f>
        <v>10.128.188.102</v>
      </c>
      <c r="DU50" s="22"/>
    </row>
    <row r="51" spans="2:125" ht="15.75" thickBot="1">
      <c r="B51" s="19"/>
      <c r="C51" s="192"/>
      <c r="D51" s="49" t="s">
        <v>248</v>
      </c>
      <c r="E51" s="26">
        <v>9</v>
      </c>
      <c r="F51" s="26">
        <v>6</v>
      </c>
      <c r="G51" s="120" t="s">
        <v>272</v>
      </c>
      <c r="H51" s="12" t="str">
        <f>CONCATENATE("10.",TEXT(128+BITWISE_AND(G18,G68)/4,0),".",TEXT(BITWISE_AND(G69,G18)*64+F51*8+BITWISE_AND(G71,G19)/4,0),".",TEXT(BITWISE_AND(G72,G19)*64+C42*10+E51,0))</f>
        <v>10.128.112.83</v>
      </c>
      <c r="I51" s="21"/>
      <c r="J51" s="192"/>
      <c r="K51" s="26" t="s">
        <v>248</v>
      </c>
      <c r="L51" s="26">
        <v>9</v>
      </c>
      <c r="M51" s="26">
        <v>0</v>
      </c>
      <c r="N51" s="11" t="s">
        <v>324</v>
      </c>
      <c r="O51" s="155" t="str">
        <f>V41</f>
        <v>10.128.127.253</v>
      </c>
      <c r="P51" s="21"/>
      <c r="Q51" s="201"/>
      <c r="R51" s="49" t="s">
        <v>248</v>
      </c>
      <c r="S51" s="11">
        <v>9</v>
      </c>
      <c r="T51" s="11">
        <v>0</v>
      </c>
      <c r="U51" s="11" t="s">
        <v>325</v>
      </c>
      <c r="V51" s="155" t="str">
        <f>O41</f>
        <v>10.128.127.251</v>
      </c>
      <c r="W51" s="22"/>
      <c r="X51" s="35"/>
      <c r="Y51" s="19"/>
      <c r="Z51" s="192"/>
      <c r="AA51" s="26" t="s">
        <v>248</v>
      </c>
      <c r="AB51" s="26">
        <v>9</v>
      </c>
      <c r="AC51" s="26">
        <v>3</v>
      </c>
      <c r="AD51" s="120" t="s">
        <v>318</v>
      </c>
      <c r="AE51" s="12" t="str">
        <f>CONCATENATE("10.",TEXT(128+BITWISE_AND(AD18,G68)/4,0),".",TEXT(BITWISE_AND(G69,AD18)*64+AC51*8+BITWISE_AND(G71,AD19)/4,0),".",TEXT(BITWISE_AND(G72,AD19)*64+Z42*10+AB51,0))</f>
        <v>10.128.24.83</v>
      </c>
      <c r="AF51" s="19"/>
      <c r="AG51" s="4"/>
      <c r="AH51" s="4"/>
      <c r="AI51" s="4"/>
      <c r="AJ51" s="4"/>
      <c r="AK51" s="4"/>
      <c r="AL51" s="4"/>
      <c r="AM51" s="22"/>
      <c r="AN51" s="35"/>
      <c r="AO51" s="19"/>
      <c r="AP51" s="192"/>
      <c r="AQ51" s="26" t="s">
        <v>248</v>
      </c>
      <c r="AR51" s="26">
        <v>9</v>
      </c>
      <c r="AS51" s="26">
        <v>7</v>
      </c>
      <c r="AT51" s="11"/>
      <c r="AU51" s="12" t="str">
        <f>CONCATENATE("10.",TEXT(128+BITWISE_AND(AT18,G68)/4,0),".",TEXT(BITWISE_AND(G69,AT18)*64+AS51*8+BITWISE_AND(G71,AT19)/4,0),".",TEXT(BITWISE_AND(G72,AT19)*64+AP42*10+AR51,0))</f>
        <v>10.128.184.147</v>
      </c>
      <c r="AV51" s="22"/>
      <c r="AX51" s="19"/>
      <c r="AY51" s="192"/>
      <c r="AZ51" s="26" t="s">
        <v>248</v>
      </c>
      <c r="BA51" s="26">
        <v>9</v>
      </c>
      <c r="BB51" s="26">
        <v>7</v>
      </c>
      <c r="BC51" s="11"/>
      <c r="BD51" s="12" t="str">
        <f>CONCATENATE("10.",TEXT(128+BITWISE_AND(BC18,G68)/4,0),".",TEXT(BITWISE_AND(G69,BC18)*64+BB51*8+BITWISE_AND(G71,BC19)/4,0),".",TEXT(BITWISE_AND(G72,BC19)*64+AY42*10+BA51,0))</f>
        <v>10.128.186.83</v>
      </c>
      <c r="BE51" s="22"/>
      <c r="BG51" s="19"/>
      <c r="BH51" s="192"/>
      <c r="BI51" s="26" t="s">
        <v>248</v>
      </c>
      <c r="BJ51" s="26">
        <v>9</v>
      </c>
      <c r="BK51" s="26">
        <v>7</v>
      </c>
      <c r="BL51" s="11"/>
      <c r="BM51" s="12" t="str">
        <f>CONCATENATE("10.",TEXT(128+BITWISE_AND(BL18,G68)/4,0),".",TEXT(BITWISE_AND(G69,BL18)*64+BK51*8+BITWISE_AND(G71,BL19)/4,0),".",TEXT(BITWISE_AND(G72,BL19)*64+BH42*10+BJ51,0))</f>
        <v>10.128.186.211</v>
      </c>
      <c r="BN51" s="22"/>
      <c r="BP51" s="19"/>
      <c r="BQ51" s="192"/>
      <c r="BR51" s="26" t="s">
        <v>248</v>
      </c>
      <c r="BS51" s="26">
        <v>9</v>
      </c>
      <c r="BT51" s="26">
        <v>7</v>
      </c>
      <c r="BU51" s="11"/>
      <c r="BV51" s="12" t="str">
        <f>CONCATENATE("10.",TEXT(128+BITWISE_AND(BU18,G68)/4,0),".",TEXT(BITWISE_AND(G69,BU18)*64+BT51*8+BITWISE_AND(G71,BU19)/4,0),".",TEXT(BITWISE_AND(G72,BU19)*64+BQ42*10+BS51,0))</f>
        <v>10.128.187.19</v>
      </c>
      <c r="BW51" s="22"/>
      <c r="BX51" s="35"/>
      <c r="BY51" s="19"/>
      <c r="BZ51" s="192"/>
      <c r="CA51" s="26" t="s">
        <v>248</v>
      </c>
      <c r="CB51" s="26">
        <v>9</v>
      </c>
      <c r="CC51" s="26">
        <v>0</v>
      </c>
      <c r="CD51" s="11" t="s">
        <v>324</v>
      </c>
      <c r="CE51" s="155" t="str">
        <f>CL41</f>
        <v>10.128.191.253</v>
      </c>
      <c r="CF51" s="19"/>
      <c r="CG51" s="193"/>
      <c r="CH51" s="26" t="s">
        <v>248</v>
      </c>
      <c r="CI51" s="26">
        <v>9</v>
      </c>
      <c r="CJ51" s="26">
        <v>0</v>
      </c>
      <c r="CK51" s="11" t="s">
        <v>326</v>
      </c>
      <c r="CL51" s="155" t="str">
        <f>CE41</f>
        <v>10.128.191.251</v>
      </c>
      <c r="CM51" s="22"/>
      <c r="CN51" s="35"/>
      <c r="CO51" s="19"/>
      <c r="CP51" s="192"/>
      <c r="CQ51" s="26" t="s">
        <v>248</v>
      </c>
      <c r="CR51" s="26">
        <v>9</v>
      </c>
      <c r="CS51" s="26">
        <v>7</v>
      </c>
      <c r="CT51" s="11"/>
      <c r="CU51" s="12" t="str">
        <f>CONCATENATE("10.",TEXT(128+BITWISE_AND(CT18,G68)/4,0),".",TEXT(BITWISE_AND(G69,CT18)*64+CS51*8+BITWISE_AND(G71,CT19)/4,0),".",TEXT(BITWISE_AND(G72,CT19)*64+CP42*10+CR51,0))</f>
        <v>10.128.187.147</v>
      </c>
      <c r="CV51" s="22"/>
      <c r="CX51" s="19"/>
      <c r="CY51" s="192"/>
      <c r="CZ51" s="26" t="s">
        <v>248</v>
      </c>
      <c r="DA51" s="26">
        <v>9</v>
      </c>
      <c r="DB51" s="26">
        <v>7</v>
      </c>
      <c r="DC51" s="11"/>
      <c r="DD51" s="12" t="str">
        <f>CONCATENATE("10.",TEXT(128+BITWISE_AND(DC18,G68)/4,0),".",TEXT(BITWISE_AND(G69,DC18)*64+DB51*8+BITWISE_AND(G71,DC19)/4,0),".",TEXT(BITWISE_AND(G72,DC19)*64+CY42*10+DA51,0))</f>
        <v>10.128.188.19</v>
      </c>
      <c r="DE51" s="22"/>
      <c r="DG51" s="19"/>
      <c r="DH51" s="192"/>
      <c r="DI51" s="26" t="s">
        <v>248</v>
      </c>
      <c r="DJ51" s="26">
        <v>9</v>
      </c>
      <c r="DK51" s="26">
        <v>7</v>
      </c>
      <c r="DL51" s="11"/>
      <c r="DM51" s="12" t="str">
        <f>CONCATENATE("10.",TEXT(128+BITWISE_AND(DL18,G68)/4,0),".",TEXT(BITWISE_AND(G69,DL18)*64+DK51*8+BITWISE_AND(G71,DL19)/4,0),".",TEXT(BITWISE_AND(G72,DL19)*64+DH42*10+DJ51,0))</f>
        <v>10.128.188.83</v>
      </c>
      <c r="DN51" s="21"/>
      <c r="DO51" s="209"/>
      <c r="DP51" s="49" t="s">
        <v>248</v>
      </c>
      <c r="DQ51" s="11">
        <v>9</v>
      </c>
      <c r="DR51" s="11">
        <v>7</v>
      </c>
      <c r="DS51" s="11"/>
      <c r="DT51" s="12" t="str">
        <f>CONCATENATE("10.",TEXT(128+BITWISE_AND(DL18,G68)/4,0),".",TEXT(BITWISE_AND(G69,DL18)*64+DR51*8+BITWISE_AND(G71,DL19)/4,0),".",TEXT(BITWISE_AND(G72,DL19)*64+DO42*10+DQ51,0))</f>
        <v>10.128.188.103</v>
      </c>
      <c r="DU51" s="22"/>
    </row>
    <row r="52" spans="2:125">
      <c r="B52" s="19"/>
      <c r="C52" s="192"/>
      <c r="D52" s="79" t="s">
        <v>252</v>
      </c>
      <c r="E52" s="80" t="s">
        <v>253</v>
      </c>
      <c r="F52" s="80"/>
      <c r="G52" s="85"/>
      <c r="H52" s="86"/>
      <c r="I52" s="87"/>
      <c r="J52" s="192"/>
      <c r="K52" s="88" t="s">
        <v>252</v>
      </c>
      <c r="L52" s="89" t="s">
        <v>253</v>
      </c>
      <c r="M52" s="89"/>
      <c r="N52" s="85" t="s">
        <v>327</v>
      </c>
      <c r="O52" s="81"/>
      <c r="P52" s="21"/>
      <c r="Q52" s="4"/>
      <c r="R52" s="4"/>
      <c r="S52" s="4"/>
      <c r="T52" s="4"/>
      <c r="U52" s="4"/>
      <c r="V52" s="4"/>
      <c r="W52" s="22"/>
      <c r="X52" s="35"/>
      <c r="Y52" s="19"/>
      <c r="Z52" s="192"/>
      <c r="AA52" s="79" t="s">
        <v>252</v>
      </c>
      <c r="AB52" s="80" t="s">
        <v>253</v>
      </c>
      <c r="AC52" s="80"/>
      <c r="AD52" s="85"/>
      <c r="AE52" s="86"/>
      <c r="AF52" s="19"/>
      <c r="AG52" s="4"/>
      <c r="AH52" s="4"/>
      <c r="AI52" s="4"/>
      <c r="AJ52" s="4"/>
      <c r="AK52" s="4"/>
      <c r="AL52" s="4"/>
      <c r="AM52" s="22"/>
      <c r="AN52" s="35"/>
      <c r="AO52" s="19"/>
      <c r="AP52" s="192"/>
      <c r="AQ52" s="79" t="s">
        <v>252</v>
      </c>
      <c r="AR52" s="80" t="s">
        <v>253</v>
      </c>
      <c r="AS52" s="80"/>
      <c r="AT52" s="85" t="s">
        <v>328</v>
      </c>
      <c r="AU52" s="86"/>
      <c r="AV52" s="22"/>
      <c r="AX52" s="19"/>
      <c r="AY52" s="192"/>
      <c r="AZ52" s="79" t="s">
        <v>252</v>
      </c>
      <c r="BA52" s="80" t="s">
        <v>253</v>
      </c>
      <c r="BB52" s="80"/>
      <c r="BC52" s="85" t="s">
        <v>328</v>
      </c>
      <c r="BD52" s="86"/>
      <c r="BE52" s="22"/>
      <c r="BG52" s="19"/>
      <c r="BH52" s="192"/>
      <c r="BI52" s="79" t="s">
        <v>252</v>
      </c>
      <c r="BJ52" s="80" t="s">
        <v>253</v>
      </c>
      <c r="BK52" s="80"/>
      <c r="BL52" s="85" t="s">
        <v>328</v>
      </c>
      <c r="BM52" s="86"/>
      <c r="BN52" s="22"/>
      <c r="BP52" s="19"/>
      <c r="BQ52" s="192"/>
      <c r="BR52" s="79" t="s">
        <v>252</v>
      </c>
      <c r="BS52" s="80" t="s">
        <v>253</v>
      </c>
      <c r="BT52" s="80"/>
      <c r="BU52" s="85" t="s">
        <v>328</v>
      </c>
      <c r="BV52" s="86"/>
      <c r="BW52" s="22"/>
      <c r="BX52" s="35"/>
      <c r="BY52" s="19"/>
      <c r="BZ52" s="192"/>
      <c r="CA52" s="79" t="s">
        <v>252</v>
      </c>
      <c r="CB52" s="80" t="s">
        <v>253</v>
      </c>
      <c r="CC52" s="80"/>
      <c r="CD52" s="85" t="s">
        <v>328</v>
      </c>
      <c r="CE52" s="86"/>
      <c r="CF52" s="19"/>
      <c r="CG52" s="13"/>
      <c r="CH52" s="13"/>
      <c r="CI52" s="13"/>
      <c r="CJ52" s="13"/>
      <c r="CK52" s="13"/>
      <c r="CL52" s="13"/>
      <c r="CM52" s="22"/>
      <c r="CN52" s="35"/>
      <c r="CO52" s="19"/>
      <c r="CP52" s="192"/>
      <c r="CQ52" s="79" t="s">
        <v>252</v>
      </c>
      <c r="CR52" s="80" t="s">
        <v>253</v>
      </c>
      <c r="CS52" s="80"/>
      <c r="CT52" s="85" t="s">
        <v>328</v>
      </c>
      <c r="CU52" s="86"/>
      <c r="CV52" s="22"/>
      <c r="CX52" s="19"/>
      <c r="CY52" s="192"/>
      <c r="CZ52" s="79" t="s">
        <v>252</v>
      </c>
      <c r="DA52" s="80" t="s">
        <v>253</v>
      </c>
      <c r="DB52" s="80"/>
      <c r="DC52" s="85" t="s">
        <v>328</v>
      </c>
      <c r="DD52" s="86"/>
      <c r="DE52" s="22"/>
      <c r="DG52" s="19"/>
      <c r="DH52" s="192"/>
      <c r="DI52" s="79" t="s">
        <v>252</v>
      </c>
      <c r="DJ52" s="80" t="s">
        <v>253</v>
      </c>
      <c r="DK52" s="80"/>
      <c r="DL52" s="85" t="s">
        <v>328</v>
      </c>
      <c r="DM52" s="86"/>
      <c r="DN52" s="21"/>
      <c r="DO52" s="209"/>
      <c r="DP52" s="79" t="s">
        <v>252</v>
      </c>
      <c r="DQ52" s="80" t="s">
        <v>253</v>
      </c>
      <c r="DR52" s="80"/>
      <c r="DS52" s="85" t="s">
        <v>329</v>
      </c>
      <c r="DT52" s="86"/>
      <c r="DU52" s="22"/>
    </row>
    <row r="53" spans="2:125" ht="15.75" thickBot="1">
      <c r="B53" s="19"/>
      <c r="C53" s="192"/>
      <c r="D53" s="82" t="s">
        <v>257</v>
      </c>
      <c r="E53" s="83" t="s">
        <v>253</v>
      </c>
      <c r="F53" s="83"/>
      <c r="G53" s="90" t="s">
        <v>330</v>
      </c>
      <c r="H53" s="91"/>
      <c r="I53" s="87"/>
      <c r="J53" s="192"/>
      <c r="K53" s="92" t="s">
        <v>257</v>
      </c>
      <c r="L53" s="93" t="s">
        <v>253</v>
      </c>
      <c r="M53" s="93"/>
      <c r="N53" s="90"/>
      <c r="O53" s="84"/>
      <c r="P53" s="21"/>
      <c r="Q53" s="4"/>
      <c r="R53" s="4"/>
      <c r="S53" s="4"/>
      <c r="T53" s="4"/>
      <c r="U53" s="4"/>
      <c r="V53" s="4"/>
      <c r="W53" s="22"/>
      <c r="X53" s="35"/>
      <c r="Y53" s="19"/>
      <c r="Z53" s="192"/>
      <c r="AA53" s="82" t="s">
        <v>257</v>
      </c>
      <c r="AB53" s="83" t="s">
        <v>253</v>
      </c>
      <c r="AC53" s="83"/>
      <c r="AD53" s="90" t="s">
        <v>331</v>
      </c>
      <c r="AE53" s="91"/>
      <c r="AF53" s="19"/>
      <c r="AG53" s="4"/>
      <c r="AH53" s="4"/>
      <c r="AI53" s="4"/>
      <c r="AJ53" s="4"/>
      <c r="AK53" s="4"/>
      <c r="AL53" s="4"/>
      <c r="AM53" s="22"/>
      <c r="AN53" s="35"/>
      <c r="AO53" s="19"/>
      <c r="AP53" s="192"/>
      <c r="AQ53" s="82" t="s">
        <v>257</v>
      </c>
      <c r="AR53" s="83" t="s">
        <v>253</v>
      </c>
      <c r="AS53" s="83"/>
      <c r="AT53" s="90" t="s">
        <v>331</v>
      </c>
      <c r="AU53" s="91"/>
      <c r="AV53" s="22"/>
      <c r="AX53" s="19"/>
      <c r="AY53" s="192"/>
      <c r="AZ53" s="82" t="s">
        <v>257</v>
      </c>
      <c r="BA53" s="83" t="s">
        <v>253</v>
      </c>
      <c r="BB53" s="83"/>
      <c r="BC53" s="90" t="s">
        <v>331</v>
      </c>
      <c r="BD53" s="91"/>
      <c r="BE53" s="22"/>
      <c r="BG53" s="19"/>
      <c r="BH53" s="192"/>
      <c r="BI53" s="82" t="s">
        <v>257</v>
      </c>
      <c r="BJ53" s="83" t="s">
        <v>253</v>
      </c>
      <c r="BK53" s="83"/>
      <c r="BL53" s="90" t="s">
        <v>331</v>
      </c>
      <c r="BM53" s="91"/>
      <c r="BN53" s="22"/>
      <c r="BP53" s="19"/>
      <c r="BQ53" s="192"/>
      <c r="BR53" s="82" t="s">
        <v>257</v>
      </c>
      <c r="BS53" s="83" t="s">
        <v>253</v>
      </c>
      <c r="BT53" s="83"/>
      <c r="BU53" s="90" t="s">
        <v>331</v>
      </c>
      <c r="BV53" s="91"/>
      <c r="BW53" s="22"/>
      <c r="BX53" s="35"/>
      <c r="BY53" s="19"/>
      <c r="BZ53" s="192"/>
      <c r="CA53" s="82" t="s">
        <v>257</v>
      </c>
      <c r="CB53" s="83" t="s">
        <v>253</v>
      </c>
      <c r="CC53" s="83"/>
      <c r="CD53" s="90" t="s">
        <v>331</v>
      </c>
      <c r="CE53" s="91"/>
      <c r="CF53" s="19"/>
      <c r="CG53" s="13"/>
      <c r="CH53" s="13"/>
      <c r="CI53" s="13"/>
      <c r="CJ53" s="13"/>
      <c r="CK53" s="13"/>
      <c r="CL53" s="13"/>
      <c r="CM53" s="22"/>
      <c r="CN53" s="35"/>
      <c r="CO53" s="19"/>
      <c r="CP53" s="192"/>
      <c r="CQ53" s="82" t="s">
        <v>257</v>
      </c>
      <c r="CR53" s="83" t="s">
        <v>253</v>
      </c>
      <c r="CS53" s="83"/>
      <c r="CT53" s="90" t="s">
        <v>331</v>
      </c>
      <c r="CU53" s="91"/>
      <c r="CV53" s="22"/>
      <c r="CX53" s="19"/>
      <c r="CY53" s="192"/>
      <c r="CZ53" s="82" t="s">
        <v>257</v>
      </c>
      <c r="DA53" s="83" t="s">
        <v>253</v>
      </c>
      <c r="DB53" s="83"/>
      <c r="DC53" s="90" t="s">
        <v>331</v>
      </c>
      <c r="DD53" s="91"/>
      <c r="DE53" s="22"/>
      <c r="DG53" s="19"/>
      <c r="DH53" s="192"/>
      <c r="DI53" s="82" t="s">
        <v>257</v>
      </c>
      <c r="DJ53" s="83" t="s">
        <v>253</v>
      </c>
      <c r="DK53" s="83"/>
      <c r="DL53" s="90" t="s">
        <v>330</v>
      </c>
      <c r="DM53" s="91"/>
      <c r="DN53" s="21"/>
      <c r="DO53" s="209"/>
      <c r="DP53" s="82" t="s">
        <v>257</v>
      </c>
      <c r="DQ53" s="83" t="s">
        <v>253</v>
      </c>
      <c r="DR53" s="83"/>
      <c r="DS53" s="90"/>
      <c r="DT53" s="91"/>
      <c r="DU53" s="22"/>
    </row>
    <row r="54" spans="2:125">
      <c r="B54" s="19"/>
      <c r="C54" s="192"/>
      <c r="D54" s="79" t="s">
        <v>261</v>
      </c>
      <c r="E54" s="80" t="s">
        <v>253</v>
      </c>
      <c r="F54" s="80"/>
      <c r="G54" s="85" t="s">
        <v>332</v>
      </c>
      <c r="H54" s="86"/>
      <c r="I54" s="87"/>
      <c r="J54" s="192"/>
      <c r="K54" s="79" t="s">
        <v>261</v>
      </c>
      <c r="L54" s="89" t="s">
        <v>253</v>
      </c>
      <c r="M54" s="89"/>
      <c r="N54" s="85" t="s">
        <v>333</v>
      </c>
      <c r="O54" s="81"/>
      <c r="P54" s="21"/>
      <c r="Q54" s="4"/>
      <c r="R54" s="4"/>
      <c r="S54" s="4"/>
      <c r="T54" s="4"/>
      <c r="U54" s="4"/>
      <c r="V54" s="4"/>
      <c r="W54" s="22"/>
      <c r="X54" s="35"/>
      <c r="Y54" s="19"/>
      <c r="Z54" s="192"/>
      <c r="AA54" s="79" t="s">
        <v>261</v>
      </c>
      <c r="AB54" s="80" t="s">
        <v>253</v>
      </c>
      <c r="AC54" s="80"/>
      <c r="AD54" s="85" t="s">
        <v>332</v>
      </c>
      <c r="AE54" s="86"/>
      <c r="AF54" s="19"/>
      <c r="AG54" s="4"/>
      <c r="AH54" s="4"/>
      <c r="AI54" s="4"/>
      <c r="AJ54" s="4"/>
      <c r="AK54" s="4"/>
      <c r="AL54" s="4"/>
      <c r="AM54" s="22"/>
      <c r="AN54" s="35"/>
      <c r="AO54" s="19"/>
      <c r="AP54" s="192"/>
      <c r="AQ54" s="79" t="s">
        <v>261</v>
      </c>
      <c r="AR54" s="80" t="s">
        <v>253</v>
      </c>
      <c r="AS54" s="80"/>
      <c r="AT54" s="85" t="s">
        <v>332</v>
      </c>
      <c r="AU54" s="86"/>
      <c r="AV54" s="22"/>
      <c r="AX54" s="19"/>
      <c r="AY54" s="192"/>
      <c r="AZ54" s="79" t="s">
        <v>261</v>
      </c>
      <c r="BA54" s="80" t="s">
        <v>253</v>
      </c>
      <c r="BB54" s="80"/>
      <c r="BC54" s="85" t="s">
        <v>332</v>
      </c>
      <c r="BD54" s="86"/>
      <c r="BE54" s="22"/>
      <c r="BG54" s="19"/>
      <c r="BH54" s="192"/>
      <c r="BI54" s="79" t="s">
        <v>261</v>
      </c>
      <c r="BJ54" s="80" t="s">
        <v>253</v>
      </c>
      <c r="BK54" s="80"/>
      <c r="BL54" s="85" t="s">
        <v>332</v>
      </c>
      <c r="BM54" s="86"/>
      <c r="BN54" s="22"/>
      <c r="BP54" s="19"/>
      <c r="BQ54" s="192"/>
      <c r="BR54" s="79" t="s">
        <v>261</v>
      </c>
      <c r="BS54" s="80" t="s">
        <v>253</v>
      </c>
      <c r="BT54" s="80"/>
      <c r="BU54" s="85" t="s">
        <v>332</v>
      </c>
      <c r="BV54" s="86"/>
      <c r="BW54" s="22"/>
      <c r="BX54" s="35"/>
      <c r="BY54" s="19"/>
      <c r="BZ54" s="192"/>
      <c r="CA54" s="79" t="s">
        <v>261</v>
      </c>
      <c r="CB54" s="80" t="s">
        <v>253</v>
      </c>
      <c r="CC54" s="80"/>
      <c r="CD54" s="85" t="s">
        <v>332</v>
      </c>
      <c r="CE54" s="86"/>
      <c r="CF54" s="19"/>
      <c r="CG54" s="13"/>
      <c r="CH54" s="13"/>
      <c r="CI54" s="13"/>
      <c r="CJ54" s="13"/>
      <c r="CK54" s="13"/>
      <c r="CL54" s="13"/>
      <c r="CM54" s="22"/>
      <c r="CN54" s="35"/>
      <c r="CO54" s="19"/>
      <c r="CP54" s="192"/>
      <c r="CQ54" s="79" t="s">
        <v>261</v>
      </c>
      <c r="CR54" s="80" t="s">
        <v>253</v>
      </c>
      <c r="CS54" s="80"/>
      <c r="CT54" s="85" t="s">
        <v>332</v>
      </c>
      <c r="CU54" s="86"/>
      <c r="CV54" s="22"/>
      <c r="CX54" s="19"/>
      <c r="CY54" s="192"/>
      <c r="CZ54" s="79" t="s">
        <v>261</v>
      </c>
      <c r="DA54" s="80" t="s">
        <v>253</v>
      </c>
      <c r="DB54" s="80"/>
      <c r="DC54" s="85" t="s">
        <v>332</v>
      </c>
      <c r="DD54" s="86"/>
      <c r="DE54" s="22"/>
      <c r="DG54" s="19"/>
      <c r="DH54" s="192"/>
      <c r="DI54" s="79" t="s">
        <v>261</v>
      </c>
      <c r="DJ54" s="80" t="s">
        <v>253</v>
      </c>
      <c r="DK54" s="80"/>
      <c r="DL54" s="85" t="s">
        <v>332</v>
      </c>
      <c r="DM54" s="86"/>
      <c r="DN54" s="21"/>
      <c r="DO54" s="209"/>
      <c r="DP54" s="79" t="s">
        <v>261</v>
      </c>
      <c r="DQ54" s="80" t="s">
        <v>253</v>
      </c>
      <c r="DR54" s="80"/>
      <c r="DS54" s="85" t="s">
        <v>333</v>
      </c>
      <c r="DT54" s="86"/>
      <c r="DU54" s="22"/>
    </row>
    <row r="55" spans="2:125" ht="15.75" thickBot="1">
      <c r="B55" s="19"/>
      <c r="C55" s="193"/>
      <c r="D55" s="82" t="s">
        <v>264</v>
      </c>
      <c r="E55" s="83" t="s">
        <v>253</v>
      </c>
      <c r="F55" s="83"/>
      <c r="G55" s="90" t="s">
        <v>334</v>
      </c>
      <c r="H55" s="91"/>
      <c r="I55" s="87"/>
      <c r="J55" s="193"/>
      <c r="K55" s="82" t="s">
        <v>264</v>
      </c>
      <c r="L55" s="93" t="s">
        <v>253</v>
      </c>
      <c r="M55" s="93"/>
      <c r="N55" s="90" t="s">
        <v>335</v>
      </c>
      <c r="O55" s="84"/>
      <c r="P55" s="21"/>
      <c r="Q55" s="4"/>
      <c r="R55" s="4"/>
      <c r="S55" s="4"/>
      <c r="T55" s="4"/>
      <c r="U55" s="4"/>
      <c r="V55" s="4"/>
      <c r="W55" s="22"/>
      <c r="X55" s="35"/>
      <c r="Y55" s="19"/>
      <c r="Z55" s="193"/>
      <c r="AA55" s="82" t="s">
        <v>264</v>
      </c>
      <c r="AB55" s="83" t="s">
        <v>253</v>
      </c>
      <c r="AC55" s="83"/>
      <c r="AD55" s="90" t="s">
        <v>334</v>
      </c>
      <c r="AE55" s="91"/>
      <c r="AF55" s="19"/>
      <c r="AG55" s="4"/>
      <c r="AH55" s="4"/>
      <c r="AI55" s="4"/>
      <c r="AJ55" s="4"/>
      <c r="AK55" s="4"/>
      <c r="AL55" s="4"/>
      <c r="AM55" s="22"/>
      <c r="AN55" s="35"/>
      <c r="AO55" s="19"/>
      <c r="AP55" s="193"/>
      <c r="AQ55" s="82" t="s">
        <v>264</v>
      </c>
      <c r="AR55" s="83" t="s">
        <v>253</v>
      </c>
      <c r="AS55" s="83"/>
      <c r="AT55" s="90" t="s">
        <v>334</v>
      </c>
      <c r="AU55" s="91"/>
      <c r="AV55" s="22"/>
      <c r="AX55" s="19"/>
      <c r="AY55" s="193"/>
      <c r="AZ55" s="82" t="s">
        <v>264</v>
      </c>
      <c r="BA55" s="83" t="s">
        <v>253</v>
      </c>
      <c r="BB55" s="83"/>
      <c r="BC55" s="90" t="s">
        <v>334</v>
      </c>
      <c r="BD55" s="91"/>
      <c r="BE55" s="22"/>
      <c r="BG55" s="19"/>
      <c r="BH55" s="193"/>
      <c r="BI55" s="82" t="s">
        <v>264</v>
      </c>
      <c r="BJ55" s="83" t="s">
        <v>253</v>
      </c>
      <c r="BK55" s="83"/>
      <c r="BL55" s="90" t="s">
        <v>334</v>
      </c>
      <c r="BM55" s="91"/>
      <c r="BN55" s="22"/>
      <c r="BP55" s="19"/>
      <c r="BQ55" s="193"/>
      <c r="BR55" s="82" t="s">
        <v>264</v>
      </c>
      <c r="BS55" s="83" t="s">
        <v>253</v>
      </c>
      <c r="BT55" s="83"/>
      <c r="BU55" s="90" t="s">
        <v>334</v>
      </c>
      <c r="BV55" s="91"/>
      <c r="BW55" s="22"/>
      <c r="BX55" s="35"/>
      <c r="BY55" s="19"/>
      <c r="BZ55" s="193"/>
      <c r="CA55" s="82" t="s">
        <v>264</v>
      </c>
      <c r="CB55" s="83" t="s">
        <v>253</v>
      </c>
      <c r="CC55" s="83"/>
      <c r="CD55" s="90" t="s">
        <v>334</v>
      </c>
      <c r="CE55" s="91"/>
      <c r="CF55" s="19"/>
      <c r="CG55" s="13"/>
      <c r="CH55" s="13"/>
      <c r="CI55" s="13"/>
      <c r="CJ55" s="13"/>
      <c r="CK55" s="13"/>
      <c r="CL55" s="13"/>
      <c r="CM55" s="22"/>
      <c r="CN55" s="35"/>
      <c r="CO55" s="19"/>
      <c r="CP55" s="193"/>
      <c r="CQ55" s="82" t="s">
        <v>264</v>
      </c>
      <c r="CR55" s="83" t="s">
        <v>253</v>
      </c>
      <c r="CS55" s="83"/>
      <c r="CT55" s="90" t="s">
        <v>334</v>
      </c>
      <c r="CU55" s="91"/>
      <c r="CV55" s="22"/>
      <c r="CX55" s="19"/>
      <c r="CY55" s="193"/>
      <c r="CZ55" s="82" t="s">
        <v>264</v>
      </c>
      <c r="DA55" s="83" t="s">
        <v>253</v>
      </c>
      <c r="DB55" s="83"/>
      <c r="DC55" s="90" t="s">
        <v>334</v>
      </c>
      <c r="DD55" s="91"/>
      <c r="DE55" s="22"/>
      <c r="DG55" s="19"/>
      <c r="DH55" s="193"/>
      <c r="DI55" s="82" t="s">
        <v>264</v>
      </c>
      <c r="DJ55" s="83" t="s">
        <v>253</v>
      </c>
      <c r="DK55" s="83"/>
      <c r="DL55" s="90" t="s">
        <v>334</v>
      </c>
      <c r="DM55" s="91"/>
      <c r="DN55" s="21"/>
      <c r="DO55" s="210"/>
      <c r="DP55" s="82" t="s">
        <v>264</v>
      </c>
      <c r="DQ55" s="83" t="s">
        <v>253</v>
      </c>
      <c r="DR55" s="83"/>
      <c r="DS55" s="90" t="s">
        <v>335</v>
      </c>
      <c r="DT55" s="91"/>
      <c r="DU55" s="22"/>
    </row>
    <row r="56" spans="2:125" ht="15.75" thickBot="1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8"/>
    </row>
    <row r="60" spans="2:125">
      <c r="G60" s="127" t="s">
        <v>336</v>
      </c>
    </row>
    <row r="65" spans="5:8" ht="15.75" thickBot="1"/>
    <row r="66" spans="5:8" ht="15.75" thickBot="1">
      <c r="E66" s="100" t="s">
        <v>118</v>
      </c>
      <c r="F66" s="185" t="s">
        <v>350</v>
      </c>
      <c r="G66" s="186"/>
      <c r="H66" s="187"/>
    </row>
    <row r="67" spans="5:8">
      <c r="E67" s="104" t="s">
        <v>121</v>
      </c>
      <c r="F67" s="105"/>
      <c r="G67" s="106" t="s">
        <v>122</v>
      </c>
      <c r="H67" s="107" t="s">
        <v>123</v>
      </c>
    </row>
    <row r="68" spans="5:8">
      <c r="E68" s="110" t="s">
        <v>354</v>
      </c>
      <c r="F68" s="109" t="s">
        <v>355</v>
      </c>
      <c r="G68" s="111">
        <f>BIN2DEC(111100)</f>
        <v>60</v>
      </c>
      <c r="H68" s="108" t="str">
        <f>DEC2BIN(G68)</f>
        <v>111100</v>
      </c>
    </row>
    <row r="69" spans="5:8" ht="15.75" thickBot="1">
      <c r="E69" s="112" t="s">
        <v>356</v>
      </c>
      <c r="F69" s="113" t="s">
        <v>127</v>
      </c>
      <c r="G69" s="114">
        <f>BIN2DEC(11)</f>
        <v>3</v>
      </c>
      <c r="H69" s="115" t="str">
        <f>DEC2BIN(G69)</f>
        <v>11</v>
      </c>
    </row>
    <row r="70" spans="5:8">
      <c r="E70" s="104" t="s">
        <v>121</v>
      </c>
      <c r="F70" s="105"/>
      <c r="G70" s="106" t="s">
        <v>122</v>
      </c>
      <c r="H70" s="107" t="s">
        <v>123</v>
      </c>
    </row>
    <row r="71" spans="5:8">
      <c r="E71" s="110" t="s">
        <v>124</v>
      </c>
      <c r="F71" s="109" t="s">
        <v>125</v>
      </c>
      <c r="G71" s="111">
        <f>BIN2DEC(11100)</f>
        <v>28</v>
      </c>
      <c r="H71" s="108" t="str">
        <f>DEC2BIN(G71)</f>
        <v>11100</v>
      </c>
    </row>
    <row r="72" spans="5:8" ht="15.75" thickBot="1">
      <c r="E72" s="112" t="s">
        <v>126</v>
      </c>
      <c r="F72" s="113" t="s">
        <v>127</v>
      </c>
      <c r="G72" s="114">
        <f>BIN2DEC(11)</f>
        <v>3</v>
      </c>
      <c r="H72" s="115" t="str">
        <f>DEC2BIN(G72)</f>
        <v>11</v>
      </c>
    </row>
  </sheetData>
  <mergeCells count="89">
    <mergeCell ref="BZ18:CC18"/>
    <mergeCell ref="CP18:CS18"/>
    <mergeCell ref="CY18:DB18"/>
    <mergeCell ref="DH18:DK18"/>
    <mergeCell ref="Z18:AC18"/>
    <mergeCell ref="AP18:AS18"/>
    <mergeCell ref="AY18:BB18"/>
    <mergeCell ref="BH18:BK18"/>
    <mergeCell ref="BQ18:BT18"/>
    <mergeCell ref="DH43:DH55"/>
    <mergeCell ref="DO43:DO55"/>
    <mergeCell ref="C18:F18"/>
    <mergeCell ref="F66:H66"/>
    <mergeCell ref="BH43:BH55"/>
    <mergeCell ref="BQ43:BQ55"/>
    <mergeCell ref="BZ43:BZ55"/>
    <mergeCell ref="CG43:CG51"/>
    <mergeCell ref="CP43:CP55"/>
    <mergeCell ref="CY43:CY55"/>
    <mergeCell ref="C43:C55"/>
    <mergeCell ref="J43:J55"/>
    <mergeCell ref="Q43:Q51"/>
    <mergeCell ref="Z43:Z55"/>
    <mergeCell ref="AP43:AP55"/>
    <mergeCell ref="AY43:AY55"/>
    <mergeCell ref="BZ41:CD41"/>
    <mergeCell ref="CG41:CK41"/>
    <mergeCell ref="CP41:CT41"/>
    <mergeCell ref="CY41:DC41"/>
    <mergeCell ref="DH41:DL41"/>
    <mergeCell ref="DO41:DS41"/>
    <mergeCell ref="DH25:DH37"/>
    <mergeCell ref="DO25:DO37"/>
    <mergeCell ref="C41:G41"/>
    <mergeCell ref="J41:N41"/>
    <mergeCell ref="Q41:U41"/>
    <mergeCell ref="Z41:AD41"/>
    <mergeCell ref="AP41:AT41"/>
    <mergeCell ref="AY41:BC41"/>
    <mergeCell ref="BH41:BL41"/>
    <mergeCell ref="BQ41:BU41"/>
    <mergeCell ref="BH25:BH37"/>
    <mergeCell ref="BQ25:BQ37"/>
    <mergeCell ref="BZ25:BZ37"/>
    <mergeCell ref="CG25:CG33"/>
    <mergeCell ref="CP25:CP37"/>
    <mergeCell ref="CY25:CY37"/>
    <mergeCell ref="CY23:DC23"/>
    <mergeCell ref="DH23:DL23"/>
    <mergeCell ref="DO23:DS23"/>
    <mergeCell ref="C25:C37"/>
    <mergeCell ref="J25:J37"/>
    <mergeCell ref="Q25:Q33"/>
    <mergeCell ref="Z25:Z37"/>
    <mergeCell ref="AG25:AG33"/>
    <mergeCell ref="AP25:AP37"/>
    <mergeCell ref="AY25:AY37"/>
    <mergeCell ref="AY23:BC23"/>
    <mergeCell ref="BH23:BL23"/>
    <mergeCell ref="BQ23:BU23"/>
    <mergeCell ref="BZ23:CD23"/>
    <mergeCell ref="CG23:CK23"/>
    <mergeCell ref="C23:G23"/>
    <mergeCell ref="J23:N23"/>
    <mergeCell ref="Q23:U23"/>
    <mergeCell ref="Z23:AD23"/>
    <mergeCell ref="AG23:AK23"/>
    <mergeCell ref="AP23:AT23"/>
    <mergeCell ref="BZ19:CC19"/>
    <mergeCell ref="CP19:CS19"/>
    <mergeCell ref="CY19:DB19"/>
    <mergeCell ref="DH19:DK19"/>
    <mergeCell ref="BP20:BW20"/>
    <mergeCell ref="BQ19:BT19"/>
    <mergeCell ref="CP23:CT23"/>
    <mergeCell ref="BY20:CM20"/>
    <mergeCell ref="CO20:CV20"/>
    <mergeCell ref="CX20:DE20"/>
    <mergeCell ref="DG20:DU20"/>
    <mergeCell ref="B20:W20"/>
    <mergeCell ref="Y20:AM20"/>
    <mergeCell ref="AO20:AV20"/>
    <mergeCell ref="AX20:BE20"/>
    <mergeCell ref="BG20:BN20"/>
    <mergeCell ref="C19:F19"/>
    <mergeCell ref="Z19:AC19"/>
    <mergeCell ref="AP19:AS19"/>
    <mergeCell ref="AY19:BB19"/>
    <mergeCell ref="BH19:BK19"/>
  </mergeCells>
  <phoneticPr fontId="18" type="noConversion"/>
  <conditionalFormatting sqref="M24:M33 M42:M51 T42:T51 AJ24:AJ33 AS24:AS33 AS42:AS51 BB24:BB33 BB42:BB51 BK24:BK33 BK42:BK51 BT24:BT33 BQ41 BT42:BT51 CC24:CC33 CC42:CC51 CJ24:CJ33 CJ42:CJ51 CS24:CS33 CS42:CS51 DB24:DB33 DB42:DB51 DK24:DK33 DK42:DK51 DR24:DR33 DR42:DR51 F42:F51 AC42:AC52 AC24:AC33 F24:F33 T24:T33">
    <cfRule type="expression" dxfId="7" priority="1">
      <formula>F24=7</formula>
    </cfRule>
    <cfRule type="expression" dxfId="6" priority="2">
      <formula>F24=6</formula>
    </cfRule>
    <cfRule type="expression" dxfId="5" priority="3">
      <formula>F24=5</formula>
    </cfRule>
    <cfRule type="expression" dxfId="4" priority="4">
      <formula>F24=4</formula>
    </cfRule>
    <cfRule type="expression" dxfId="3" priority="5">
      <formula>F24=3</formula>
    </cfRule>
    <cfRule type="expression" dxfId="2" priority="6">
      <formula>F24=2</formula>
    </cfRule>
    <cfRule type="expression" dxfId="1" priority="7">
      <formula>F24=0</formula>
    </cfRule>
    <cfRule type="expression" dxfId="0" priority="8">
      <formula>F24=1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whole" allowBlank="1" showInputMessage="1" showErrorMessage="1" xr:uid="{FAE7D13F-7A9E-49A6-865E-CF9CC605BE06}">
          <x14:formula1>
            <xm:f>'IP Address'!#REF!</xm:f>
          </x14:formula1>
          <x14:formula2>
            <xm:f>'IP Address'!#REF!</xm:f>
          </x14:formula2>
          <xm:sqref>F33 AC31 F44 AC49 F24:F31 T31</xm:sqref>
        </x14:dataValidation>
        <x14:dataValidation type="whole" allowBlank="1" showInputMessage="1" showErrorMessage="1" xr:uid="{9F64A447-2A93-4FF4-ADC4-6AF25226D3C6}">
          <x14:formula1>
            <xm:f>'IP Address'!#REF!</xm:f>
          </x14:formula1>
          <x14:formula2>
            <xm:f>'IP Address'!P39</xm:f>
          </x14:formula2>
          <xm:sqref>M55</xm:sqref>
        </x14:dataValidation>
        <x14:dataValidation type="whole" allowBlank="1" showInputMessage="1" showErrorMessage="1" xr:uid="{6524ED43-4B1B-410E-B212-88BA4947C554}">
          <x14:formula1>
            <xm:f>'IP Address'!#REF!</xm:f>
          </x14:formula1>
          <x14:formula2>
            <xm:f>'IP Address'!P39</xm:f>
          </x14:formula2>
          <xm:sqref>M54</xm:sqref>
        </x14:dataValidation>
        <x14:dataValidation type="whole" allowBlank="1" showInputMessage="1" showErrorMessage="1" xr:uid="{D6A6C767-2EFB-4277-983E-CEE348B117AA}">
          <x14:formula1>
            <xm:f>'IP Address'!I24</xm:f>
          </x14:formula1>
          <x14:formula2>
            <xm:f>'IP Address'!I39</xm:f>
          </x14:formula2>
          <xm:sqref>F55</xm:sqref>
        </x14:dataValidation>
        <x14:dataValidation type="whole" allowBlank="1" showInputMessage="1" showErrorMessage="1" xr:uid="{AC6A75DE-C151-4DDE-962A-28B4AB35327A}">
          <x14:formula1>
            <xm:f>'IP Address'!I24</xm:f>
          </x14:formula1>
          <x14:formula2>
            <xm:f>'IP Address'!I39</xm:f>
          </x14:formula2>
          <xm:sqref>F54</xm:sqref>
        </x14:dataValidation>
        <x14:dataValidation type="whole" allowBlank="1" showInputMessage="1" showErrorMessage="1" xr:uid="{6F131182-A65F-44F1-986F-9B8F74D3711C}">
          <x14:formula1>
            <xm:f>'IP Address'!AH24</xm:f>
          </x14:formula1>
          <x14:formula2>
            <xm:f>'IP Address'!AH39</xm:f>
          </x14:formula2>
          <xm:sqref>DR55 AJ55 AC55 AS55 BB55 BK55 BT55 CC55 CS55 DB55 DK55</xm:sqref>
        </x14:dataValidation>
        <x14:dataValidation type="whole" allowBlank="1" showInputMessage="1" showErrorMessage="1" xr:uid="{ED766A99-C75F-4F70-9637-CCB6D7DB33A3}">
          <x14:formula1>
            <xm:f>'IP Address'!AH24</xm:f>
          </x14:formula1>
          <x14:formula2>
            <xm:f>'IP Address'!AH39</xm:f>
          </x14:formula2>
          <xm:sqref>DR54 AJ54 AC54 AS54 BB54 BK54 BT54 CC54 CS54 DB54 DK54</xm:sqref>
        </x14:dataValidation>
        <x14:dataValidation type="whole" allowBlank="1" showInputMessage="1" showErrorMessage="1" xr:uid="{3074E7BA-6DF3-47DC-9583-A777F868F466}">
          <x14:formula1>
            <xm:f>'IP Address'!#REF!</xm:f>
          </x14:formula1>
          <x14:formula2>
            <xm:f>'IP Address'!I12</xm:f>
          </x14:formula2>
          <xm:sqref>F34 F36</xm:sqref>
        </x14:dataValidation>
        <x14:dataValidation type="whole" allowBlank="1" showInputMessage="1" showErrorMessage="1" xr:uid="{31CBF7CF-1677-490E-A804-E5733F97CEDA}">
          <x14:formula1>
            <xm:f>'IP Address'!#REF!</xm:f>
          </x14:formula1>
          <x14:formula2>
            <xm:f>'IP Address'!I12</xm:f>
          </x14:formula2>
          <xm:sqref>F37 F35</xm:sqref>
        </x14:dataValidation>
        <x14:dataValidation type="whole" allowBlank="1" showInputMessage="1" showErrorMessage="1" xr:uid="{F046D57D-86B7-4077-ADED-87B39CC0FBB6}">
          <x14:formula1>
            <xm:f>'IP Address'!I4</xm:f>
          </x14:formula1>
          <x14:formula2>
            <xm:f>'IP Address'!I11</xm:f>
          </x14:formula2>
          <xm:sqref>F32</xm:sqref>
        </x14:dataValidation>
        <x14:dataValidation type="whole" allowBlank="1" showInputMessage="1" showErrorMessage="1" xr:uid="{853A3B36-FE98-4A5F-883D-00A11192F663}">
          <x14:formula1>
            <xm:f>'IP Address'!P26</xm:f>
          </x14:formula1>
          <x14:formula2>
            <xm:f>'IP Address'!J3</xm:f>
          </x14:formula2>
          <xm:sqref>M36 M34</xm:sqref>
        </x14:dataValidation>
        <x14:dataValidation type="whole" allowBlank="1" showInputMessage="1" showErrorMessage="1" xr:uid="{8EFEE47C-5FD2-4AF4-BA23-DA1CA69D8BA0}">
          <x14:formula1>
            <xm:f>'IP Address'!P22</xm:f>
          </x14:formula1>
          <x14:formula2>
            <xm:f>'IP Address'!#REF!</xm:f>
          </x14:formula2>
          <xm:sqref>M53</xm:sqref>
        </x14:dataValidation>
        <x14:dataValidation type="whole" allowBlank="1" showInputMessage="1" showErrorMessage="1" xr:uid="{963624ED-D70C-48B1-A05C-5D6ADC26043A}">
          <x14:formula1>
            <xm:f>'IP Address'!I22</xm:f>
          </x14:formula1>
          <x14:formula2>
            <xm:f>'IP Address'!I29</xm:f>
          </x14:formula2>
          <xm:sqref>F53</xm:sqref>
        </x14:dataValidation>
        <x14:dataValidation type="whole" allowBlank="1" showInputMessage="1" showErrorMessage="1" xr:uid="{4877BDA8-DD3C-4FF5-9E69-21395DA89331}">
          <x14:formula1>
            <xm:f>'IP Address'!P26</xm:f>
          </x14:formula1>
          <x14:formula2>
            <xm:f>'IP Address'!J3</xm:f>
          </x14:formula2>
          <xm:sqref>M37 M35</xm:sqref>
        </x14:dataValidation>
        <x14:dataValidation type="whole" allowBlank="1" showInputMessage="1" showErrorMessage="1" xr:uid="{96C6494A-20D4-4E6F-AE58-6ABCFD29AE18}">
          <x14:formula1>
            <xm:f>'IP Address'!P22</xm:f>
          </x14:formula1>
          <x14:formula2>
            <xm:f>'IP Address'!#REF!</xm:f>
          </x14:formula2>
          <xm:sqref>M52</xm:sqref>
        </x14:dataValidation>
        <x14:dataValidation type="whole" allowBlank="1" showInputMessage="1" showErrorMessage="1" xr:uid="{04713A4F-1CBA-46A8-A211-3BCD27BDD57F}">
          <x14:formula1>
            <xm:f>'IP Address'!I22</xm:f>
          </x14:formula1>
          <x14:formula2>
            <xm:f>'IP Address'!I29</xm:f>
          </x14:formula2>
          <xm:sqref>F52</xm:sqref>
        </x14:dataValidation>
        <x14:dataValidation type="whole" allowBlank="1" showInputMessage="1" showErrorMessage="1" xr:uid="{AE3EAF8B-4FC0-4FAF-8181-55DC63CF15D8}">
          <x14:formula1>
            <xm:f>'IP Address'!AH5</xm:f>
          </x14:formula1>
          <x14:formula2>
            <xm:f>'IP Address'!AG12</xm:f>
          </x14:formula2>
          <xm:sqref>AJ37 AJ35 AS35 AC37 AC35 BB35 AS37 BK35 BB37 BT35 BK37 CC35 BT37 CS35 CC37 DB35 CS37 DK35 DB37 DR35 DK37 DR37</xm:sqref>
        </x14:dataValidation>
        <x14:dataValidation type="whole" allowBlank="1" showInputMessage="1" showErrorMessage="1" xr:uid="{84A91F94-C047-4F3F-AD7B-A3B99BD6AB0B}">
          <x14:formula1>
            <xm:f>'IP Address'!AH5</xm:f>
          </x14:formula1>
          <x14:formula2>
            <xm:f>'IP Address'!AG12</xm:f>
          </x14:formula2>
          <xm:sqref>AJ36 AJ34 AS34 AC36 AC34 BB34 AS36 BK34 BB36 BT34 BK36 CC34 BT36 CS34 CC36 DB34 CS36 DK34 DB36 DR34 DK36 DR36</xm:sqref>
        </x14:dataValidation>
        <x14:dataValidation type="whole" allowBlank="1" showInputMessage="1" showErrorMessage="1" xr:uid="{8D37B847-9A56-4275-B0EC-4DBB7B532DD4}">
          <x14:formula1>
            <xm:f>'IP Address'!AH22</xm:f>
          </x14:formula1>
          <x14:formula2>
            <xm:f>'IP Address'!AH29</xm:f>
          </x14:formula2>
          <xm:sqref>DR53 DK53 DB53 CS53 CC53 BT53 BK53 BB53 AS53 AJ53 AC53</xm:sqref>
        </x14:dataValidation>
        <x14:dataValidation type="whole" allowBlank="1" showInputMessage="1" showErrorMessage="1" xr:uid="{CC0C528D-ADA7-4F7C-9A0F-9789F0E8108A}">
          <x14:formula1>
            <xm:f>'IP Address'!AH22</xm:f>
          </x14:formula1>
          <x14:formula2>
            <xm:f>'IP Address'!AH29</xm:f>
          </x14:formula2>
          <xm:sqref>AC52 DR52 DK52 DB52 CS52 CC52 BT52 BK52 BB52 AS52 AJ52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342-D363-4860-BDA0-C0F60AD94910}">
  <dimension ref="B1:F88"/>
  <sheetViews>
    <sheetView workbookViewId="0">
      <selection activeCell="I30" sqref="I30"/>
    </sheetView>
  </sheetViews>
  <sheetFormatPr baseColWidth="10" defaultColWidth="11.42578125" defaultRowHeight="15"/>
  <cols>
    <col min="2" max="2" width="36" bestFit="1" customWidth="1"/>
    <col min="3" max="3" width="14.42578125" customWidth="1"/>
    <col min="4" max="4" width="8.42578125" bestFit="1" customWidth="1"/>
    <col min="5" max="5" width="15.28515625" bestFit="1" customWidth="1"/>
    <col min="6" max="6" width="9.5703125" bestFit="1" customWidth="1"/>
    <col min="7" max="7" width="11.42578125" customWidth="1"/>
  </cols>
  <sheetData>
    <row r="1" spans="2:6" ht="15.75" thickBot="1"/>
    <row r="2" spans="2:6" ht="15.75" thickBot="1">
      <c r="B2" s="100" t="s">
        <v>140</v>
      </c>
      <c r="C2" s="100" t="s">
        <v>367</v>
      </c>
      <c r="D2" s="147" t="s">
        <v>368</v>
      </c>
      <c r="E2" s="147" t="s">
        <v>369</v>
      </c>
      <c r="F2" s="147" t="s">
        <v>370</v>
      </c>
    </row>
    <row r="3" spans="2:6">
      <c r="B3" s="145" t="s">
        <v>371</v>
      </c>
      <c r="C3" s="148" t="s">
        <v>100</v>
      </c>
      <c r="D3" s="151">
        <v>0</v>
      </c>
      <c r="E3" s="150">
        <v>0</v>
      </c>
      <c r="F3" s="150">
        <v>1</v>
      </c>
    </row>
    <row r="4" spans="2:6">
      <c r="B4" s="145" t="s">
        <v>372</v>
      </c>
      <c r="C4" s="149" t="s">
        <v>373</v>
      </c>
      <c r="D4" s="128">
        <v>1</v>
      </c>
      <c r="E4" s="128">
        <v>0</v>
      </c>
      <c r="F4" s="128">
        <v>1</v>
      </c>
    </row>
    <row r="5" spans="2:6">
      <c r="B5" s="145" t="s">
        <v>374</v>
      </c>
      <c r="C5" s="149" t="s">
        <v>375</v>
      </c>
      <c r="D5" s="128">
        <v>2</v>
      </c>
      <c r="E5" s="128">
        <v>0</v>
      </c>
      <c r="F5" s="128">
        <v>1</v>
      </c>
    </row>
    <row r="6" spans="2:6">
      <c r="B6" s="145" t="s">
        <v>376</v>
      </c>
      <c r="C6" s="149" t="s">
        <v>377</v>
      </c>
      <c r="D6" s="128">
        <v>3</v>
      </c>
      <c r="E6" s="128">
        <v>0</v>
      </c>
      <c r="F6" s="128">
        <v>1</v>
      </c>
    </row>
    <row r="7" spans="2:6">
      <c r="B7" s="145" t="s">
        <v>378</v>
      </c>
      <c r="C7" s="149" t="s">
        <v>379</v>
      </c>
      <c r="D7" s="128">
        <v>4</v>
      </c>
      <c r="E7" s="128">
        <v>0</v>
      </c>
      <c r="F7" s="128">
        <v>1</v>
      </c>
    </row>
    <row r="8" spans="2:6">
      <c r="B8" s="145" t="s">
        <v>380</v>
      </c>
      <c r="C8" s="149" t="s">
        <v>381</v>
      </c>
      <c r="D8" s="128">
        <v>5</v>
      </c>
      <c r="E8" s="128">
        <v>0</v>
      </c>
      <c r="F8" s="128">
        <v>1</v>
      </c>
    </row>
    <row r="9" spans="2:6">
      <c r="B9" s="145" t="s">
        <v>382</v>
      </c>
      <c r="C9" s="149" t="s">
        <v>383</v>
      </c>
      <c r="D9" s="128">
        <v>6</v>
      </c>
      <c r="E9" s="128">
        <v>0</v>
      </c>
      <c r="F9" s="128">
        <v>1</v>
      </c>
    </row>
    <row r="10" spans="2:6">
      <c r="B10" s="145" t="s">
        <v>384</v>
      </c>
      <c r="C10" s="149" t="s">
        <v>385</v>
      </c>
      <c r="D10" s="128">
        <v>7</v>
      </c>
      <c r="E10" s="128">
        <v>0</v>
      </c>
      <c r="F10" s="128">
        <v>1</v>
      </c>
    </row>
    <row r="11" spans="2:6">
      <c r="B11" s="128" t="s">
        <v>386</v>
      </c>
      <c r="C11" s="149" t="s">
        <v>196</v>
      </c>
      <c r="D11" s="128">
        <v>6</v>
      </c>
      <c r="E11" s="128">
        <v>0</v>
      </c>
      <c r="F11" s="128">
        <v>5</v>
      </c>
    </row>
    <row r="12" spans="2:6">
      <c r="B12" s="128" t="s">
        <v>387</v>
      </c>
      <c r="C12" s="149" t="s">
        <v>228</v>
      </c>
      <c r="D12" s="128">
        <v>6</v>
      </c>
      <c r="E12" s="128">
        <v>0</v>
      </c>
      <c r="F12" s="128">
        <v>6</v>
      </c>
    </row>
    <row r="13" spans="2:6">
      <c r="B13" s="128" t="s">
        <v>388</v>
      </c>
      <c r="C13" s="149" t="s">
        <v>239</v>
      </c>
      <c r="D13" s="128">
        <v>6</v>
      </c>
      <c r="E13" s="128">
        <v>0</v>
      </c>
      <c r="F13" s="128">
        <v>47</v>
      </c>
    </row>
    <row r="14" spans="2:6">
      <c r="B14" s="128" t="s">
        <v>389</v>
      </c>
      <c r="C14" s="149" t="s">
        <v>390</v>
      </c>
      <c r="D14" s="128">
        <v>0</v>
      </c>
      <c r="E14" s="128">
        <v>0</v>
      </c>
      <c r="F14" s="128">
        <v>7</v>
      </c>
    </row>
    <row r="15" spans="2:6">
      <c r="B15" s="128" t="s">
        <v>391</v>
      </c>
      <c r="C15" s="149" t="s">
        <v>392</v>
      </c>
      <c r="D15" s="128">
        <v>0</v>
      </c>
      <c r="E15" s="128">
        <v>0</v>
      </c>
      <c r="F15" s="128">
        <v>8</v>
      </c>
    </row>
    <row r="16" spans="2:6">
      <c r="B16" s="128" t="s">
        <v>393</v>
      </c>
      <c r="C16" s="149" t="s">
        <v>203</v>
      </c>
      <c r="D16" s="128">
        <v>0</v>
      </c>
      <c r="E16" s="128">
        <v>0</v>
      </c>
      <c r="F16" s="128">
        <v>20</v>
      </c>
    </row>
    <row r="17" spans="2:6">
      <c r="B17" s="128" t="s">
        <v>394</v>
      </c>
      <c r="C17" s="149" t="s">
        <v>286</v>
      </c>
      <c r="D17" s="128">
        <v>0</v>
      </c>
      <c r="E17" s="128">
        <v>0</v>
      </c>
      <c r="F17" s="128">
        <v>21</v>
      </c>
    </row>
    <row r="18" spans="2:6">
      <c r="B18" s="128" t="s">
        <v>395</v>
      </c>
      <c r="C18" s="149" t="s">
        <v>240</v>
      </c>
      <c r="D18" s="128">
        <v>0</v>
      </c>
      <c r="E18" s="128">
        <v>0</v>
      </c>
      <c r="F18" s="128">
        <v>22</v>
      </c>
    </row>
    <row r="19" spans="2:6">
      <c r="B19" s="128" t="s">
        <v>396</v>
      </c>
      <c r="C19" s="149" t="s">
        <v>314</v>
      </c>
      <c r="D19" s="128">
        <v>0</v>
      </c>
      <c r="E19" s="128">
        <v>0</v>
      </c>
      <c r="F19" s="128">
        <v>23</v>
      </c>
    </row>
    <row r="20" spans="2:6">
      <c r="B20" s="128" t="s">
        <v>397</v>
      </c>
      <c r="C20" s="149" t="s">
        <v>398</v>
      </c>
      <c r="D20" s="128">
        <v>0</v>
      </c>
      <c r="E20" s="128">
        <v>0</v>
      </c>
      <c r="F20" s="128">
        <v>10</v>
      </c>
    </row>
    <row r="21" spans="2:6">
      <c r="B21" s="128" t="s">
        <v>399</v>
      </c>
      <c r="C21" s="149" t="s">
        <v>400</v>
      </c>
      <c r="D21" s="128">
        <v>0</v>
      </c>
      <c r="E21" s="128">
        <v>0</v>
      </c>
      <c r="F21" s="128">
        <v>11</v>
      </c>
    </row>
    <row r="22" spans="2:6">
      <c r="B22" s="128" t="s">
        <v>401</v>
      </c>
      <c r="C22" s="149" t="s">
        <v>402</v>
      </c>
      <c r="D22" s="128">
        <v>0</v>
      </c>
      <c r="E22" s="128">
        <v>0</v>
      </c>
      <c r="F22" s="128">
        <v>15</v>
      </c>
    </row>
    <row r="23" spans="2:6">
      <c r="B23" s="128" t="s">
        <v>403</v>
      </c>
      <c r="C23" s="149" t="s">
        <v>404</v>
      </c>
      <c r="D23" s="128">
        <v>3</v>
      </c>
      <c r="E23" s="128">
        <v>0</v>
      </c>
      <c r="F23" s="128">
        <v>40</v>
      </c>
    </row>
    <row r="24" spans="2:6">
      <c r="B24" s="128" t="s">
        <v>405</v>
      </c>
      <c r="C24" s="149" t="s">
        <v>406</v>
      </c>
      <c r="D24" s="128">
        <v>3</v>
      </c>
      <c r="E24" s="128">
        <v>0</v>
      </c>
      <c r="F24" s="128">
        <v>41</v>
      </c>
    </row>
    <row r="25" spans="2:6">
      <c r="B25" s="128" t="s">
        <v>407</v>
      </c>
      <c r="C25" s="149" t="s">
        <v>408</v>
      </c>
      <c r="D25" s="128">
        <v>3</v>
      </c>
      <c r="E25" s="128">
        <v>0</v>
      </c>
      <c r="F25" s="128">
        <v>42</v>
      </c>
    </row>
    <row r="26" spans="2:6">
      <c r="B26" s="128" t="s">
        <v>409</v>
      </c>
      <c r="C26" s="149" t="s">
        <v>410</v>
      </c>
      <c r="D26" s="128">
        <v>3</v>
      </c>
      <c r="E26" s="128">
        <v>0</v>
      </c>
      <c r="F26" s="128">
        <v>43</v>
      </c>
    </row>
    <row r="27" spans="2:6">
      <c r="B27" s="128" t="s">
        <v>184</v>
      </c>
      <c r="C27" s="149" t="s">
        <v>557</v>
      </c>
      <c r="D27" s="128">
        <v>4</v>
      </c>
      <c r="E27" s="128">
        <v>0</v>
      </c>
      <c r="F27" s="128">
        <v>20</v>
      </c>
    </row>
    <row r="28" spans="2:6">
      <c r="B28" s="128" t="s">
        <v>411</v>
      </c>
      <c r="C28" s="149" t="s">
        <v>412</v>
      </c>
      <c r="D28" s="128">
        <v>6</v>
      </c>
      <c r="E28" s="128">
        <v>0</v>
      </c>
      <c r="F28" s="128">
        <v>50</v>
      </c>
    </row>
    <row r="29" spans="2:6">
      <c r="B29" s="128" t="s">
        <v>413</v>
      </c>
      <c r="C29" s="149" t="s">
        <v>414</v>
      </c>
      <c r="D29" s="128">
        <v>6</v>
      </c>
      <c r="E29" s="128">
        <v>0</v>
      </c>
      <c r="F29" s="128">
        <v>51</v>
      </c>
    </row>
    <row r="30" spans="2:6">
      <c r="B30" s="128" t="s">
        <v>415</v>
      </c>
      <c r="C30" s="149" t="s">
        <v>416</v>
      </c>
      <c r="D30" s="128">
        <v>6</v>
      </c>
      <c r="E30" s="128">
        <v>0</v>
      </c>
      <c r="F30" s="128">
        <v>52</v>
      </c>
    </row>
    <row r="31" spans="2:6">
      <c r="B31" s="128" t="s">
        <v>417</v>
      </c>
      <c r="C31" s="149" t="s">
        <v>418</v>
      </c>
      <c r="D31" s="128">
        <v>6</v>
      </c>
      <c r="E31" s="128">
        <v>0</v>
      </c>
      <c r="F31" s="128">
        <v>53</v>
      </c>
    </row>
    <row r="32" spans="2:6">
      <c r="B32" s="128" t="s">
        <v>419</v>
      </c>
      <c r="C32" s="149" t="s">
        <v>420</v>
      </c>
      <c r="D32" s="128">
        <v>6</v>
      </c>
      <c r="E32" s="128">
        <v>0</v>
      </c>
      <c r="F32" s="128">
        <v>54</v>
      </c>
    </row>
    <row r="33" spans="2:6">
      <c r="B33" s="128" t="s">
        <v>545</v>
      </c>
      <c r="C33" s="152" t="s">
        <v>506</v>
      </c>
      <c r="D33" s="128">
        <v>1</v>
      </c>
      <c r="E33" s="128">
        <v>31</v>
      </c>
      <c r="F33" s="128">
        <v>56</v>
      </c>
    </row>
    <row r="34" spans="2:6">
      <c r="B34" s="128" t="s">
        <v>546</v>
      </c>
      <c r="C34" s="152" t="s">
        <v>508</v>
      </c>
      <c r="D34" s="128">
        <v>1</v>
      </c>
      <c r="E34" s="128">
        <v>31</v>
      </c>
      <c r="F34" s="128">
        <v>57</v>
      </c>
    </row>
    <row r="35" spans="2:6">
      <c r="B35" s="128" t="s">
        <v>547</v>
      </c>
      <c r="C35" s="152" t="s">
        <v>510</v>
      </c>
      <c r="D35" s="128">
        <v>1</v>
      </c>
      <c r="E35" s="128">
        <v>31</v>
      </c>
      <c r="F35" s="128">
        <v>58</v>
      </c>
    </row>
    <row r="36" spans="2:6">
      <c r="B36" s="128" t="s">
        <v>548</v>
      </c>
      <c r="C36" s="152" t="s">
        <v>512</v>
      </c>
      <c r="D36" s="128">
        <v>1</v>
      </c>
      <c r="E36" s="128">
        <v>31</v>
      </c>
      <c r="F36" s="128">
        <v>59</v>
      </c>
    </row>
    <row r="37" spans="2:6">
      <c r="B37" s="128" t="s">
        <v>549</v>
      </c>
      <c r="C37" s="152" t="s">
        <v>514</v>
      </c>
      <c r="D37" s="128">
        <v>1</v>
      </c>
      <c r="E37" s="128">
        <v>31</v>
      </c>
      <c r="F37" s="128">
        <v>60</v>
      </c>
    </row>
    <row r="38" spans="2:6">
      <c r="B38" s="128" t="s">
        <v>550</v>
      </c>
      <c r="C38" s="152" t="s">
        <v>516</v>
      </c>
      <c r="D38" s="128">
        <v>1</v>
      </c>
      <c r="E38" s="128">
        <v>31</v>
      </c>
      <c r="F38" s="128">
        <v>61</v>
      </c>
    </row>
    <row r="39" spans="2:6">
      <c r="B39" s="128" t="s">
        <v>551</v>
      </c>
      <c r="C39" s="152" t="s">
        <v>104</v>
      </c>
      <c r="D39" s="128">
        <v>1</v>
      </c>
      <c r="E39" s="128">
        <v>31</v>
      </c>
      <c r="F39" s="128">
        <v>62</v>
      </c>
    </row>
    <row r="40" spans="2:6">
      <c r="B40" s="128" t="s">
        <v>421</v>
      </c>
      <c r="C40" s="152" t="s">
        <v>422</v>
      </c>
      <c r="D40" s="128">
        <v>1</v>
      </c>
      <c r="E40" s="128">
        <v>31</v>
      </c>
      <c r="F40" s="128">
        <v>56</v>
      </c>
    </row>
    <row r="41" spans="2:6">
      <c r="B41" s="128" t="s">
        <v>423</v>
      </c>
      <c r="C41" s="152" t="s">
        <v>424</v>
      </c>
      <c r="D41" s="128">
        <v>1</v>
      </c>
      <c r="E41" s="128">
        <v>31</v>
      </c>
      <c r="F41" s="128">
        <v>57</v>
      </c>
    </row>
    <row r="42" spans="2:6">
      <c r="B42" s="128" t="s">
        <v>425</v>
      </c>
      <c r="C42" s="152" t="s">
        <v>426</v>
      </c>
      <c r="D42" s="128">
        <v>1</v>
      </c>
      <c r="E42" s="128">
        <v>31</v>
      </c>
      <c r="F42" s="128">
        <v>58</v>
      </c>
    </row>
    <row r="43" spans="2:6">
      <c r="B43" s="128" t="s">
        <v>427</v>
      </c>
      <c r="C43" s="152" t="s">
        <v>428</v>
      </c>
      <c r="D43" s="128">
        <v>1</v>
      </c>
      <c r="E43" s="128">
        <v>31</v>
      </c>
      <c r="F43" s="128">
        <v>59</v>
      </c>
    </row>
    <row r="44" spans="2:6">
      <c r="B44" s="128" t="s">
        <v>429</v>
      </c>
      <c r="C44" s="152" t="s">
        <v>430</v>
      </c>
      <c r="D44" s="128">
        <v>1</v>
      </c>
      <c r="E44" s="128">
        <v>31</v>
      </c>
      <c r="F44" s="128">
        <v>60</v>
      </c>
    </row>
    <row r="45" spans="2:6">
      <c r="B45" s="128" t="s">
        <v>431</v>
      </c>
      <c r="C45" s="152" t="s">
        <v>432</v>
      </c>
      <c r="D45" s="128">
        <v>1</v>
      </c>
      <c r="E45" s="128">
        <v>31</v>
      </c>
      <c r="F45" s="128">
        <v>61</v>
      </c>
    </row>
    <row r="46" spans="2:6">
      <c r="B46" s="128" t="s">
        <v>433</v>
      </c>
      <c r="C46" s="152" t="s">
        <v>434</v>
      </c>
      <c r="D46" s="128">
        <v>1</v>
      </c>
      <c r="E46" s="128">
        <v>31</v>
      </c>
      <c r="F46" s="128">
        <v>62</v>
      </c>
    </row>
    <row r="47" spans="2:6">
      <c r="B47" s="128" t="s">
        <v>435</v>
      </c>
      <c r="C47" s="152" t="s">
        <v>436</v>
      </c>
      <c r="D47" s="128">
        <v>2</v>
      </c>
      <c r="E47" s="128">
        <v>31</v>
      </c>
      <c r="F47" s="128">
        <v>56</v>
      </c>
    </row>
    <row r="48" spans="2:6">
      <c r="B48" s="128" t="s">
        <v>437</v>
      </c>
      <c r="C48" s="152" t="s">
        <v>438</v>
      </c>
      <c r="D48" s="128">
        <v>2</v>
      </c>
      <c r="E48" s="128">
        <v>31</v>
      </c>
      <c r="F48" s="128">
        <v>57</v>
      </c>
    </row>
    <row r="49" spans="2:6">
      <c r="B49" s="128" t="s">
        <v>439</v>
      </c>
      <c r="C49" s="152" t="s">
        <v>440</v>
      </c>
      <c r="D49" s="128">
        <v>2</v>
      </c>
      <c r="E49" s="128">
        <v>31</v>
      </c>
      <c r="F49" s="128">
        <v>58</v>
      </c>
    </row>
    <row r="50" spans="2:6">
      <c r="B50" s="128" t="s">
        <v>441</v>
      </c>
      <c r="C50" s="152" t="s">
        <v>442</v>
      </c>
      <c r="D50" s="128">
        <v>2</v>
      </c>
      <c r="E50" s="128">
        <v>31</v>
      </c>
      <c r="F50" s="128">
        <v>59</v>
      </c>
    </row>
    <row r="51" spans="2:6">
      <c r="B51" s="128" t="s">
        <v>443</v>
      </c>
      <c r="C51" s="152" t="s">
        <v>444</v>
      </c>
      <c r="D51" s="128">
        <v>2</v>
      </c>
      <c r="E51" s="128">
        <v>31</v>
      </c>
      <c r="F51" s="128">
        <v>60</v>
      </c>
    </row>
    <row r="52" spans="2:6">
      <c r="B52" s="128" t="s">
        <v>445</v>
      </c>
      <c r="C52" s="152" t="s">
        <v>446</v>
      </c>
      <c r="D52" s="128">
        <v>2</v>
      </c>
      <c r="E52" s="128">
        <v>31</v>
      </c>
      <c r="F52" s="128">
        <v>61</v>
      </c>
    </row>
    <row r="53" spans="2:6">
      <c r="B53" s="128" t="s">
        <v>447</v>
      </c>
      <c r="C53" s="152" t="s">
        <v>448</v>
      </c>
      <c r="D53" s="128">
        <v>2</v>
      </c>
      <c r="E53" s="128">
        <v>31</v>
      </c>
      <c r="F53" s="128">
        <v>62</v>
      </c>
    </row>
    <row r="54" spans="2:6">
      <c r="B54" s="128" t="s">
        <v>449</v>
      </c>
      <c r="C54" s="152" t="s">
        <v>450</v>
      </c>
      <c r="D54" s="128">
        <v>3</v>
      </c>
      <c r="E54" s="128">
        <v>31</v>
      </c>
      <c r="F54" s="128">
        <v>56</v>
      </c>
    </row>
    <row r="55" spans="2:6">
      <c r="B55" s="128" t="s">
        <v>451</v>
      </c>
      <c r="C55" s="152" t="s">
        <v>452</v>
      </c>
      <c r="D55" s="128">
        <v>3</v>
      </c>
      <c r="E55" s="128">
        <v>31</v>
      </c>
      <c r="F55" s="128">
        <v>57</v>
      </c>
    </row>
    <row r="56" spans="2:6">
      <c r="B56" s="128" t="s">
        <v>453</v>
      </c>
      <c r="C56" s="152" t="s">
        <v>454</v>
      </c>
      <c r="D56" s="128">
        <v>3</v>
      </c>
      <c r="E56" s="128">
        <v>31</v>
      </c>
      <c r="F56" s="128">
        <v>58</v>
      </c>
    </row>
    <row r="57" spans="2:6">
      <c r="B57" s="128" t="s">
        <v>455</v>
      </c>
      <c r="C57" s="152" t="s">
        <v>456</v>
      </c>
      <c r="D57" s="128">
        <v>3</v>
      </c>
      <c r="E57" s="128">
        <v>31</v>
      </c>
      <c r="F57" s="128">
        <v>59</v>
      </c>
    </row>
    <row r="58" spans="2:6">
      <c r="B58" s="128" t="s">
        <v>457</v>
      </c>
      <c r="C58" s="152" t="s">
        <v>458</v>
      </c>
      <c r="D58" s="128">
        <v>3</v>
      </c>
      <c r="E58" s="128">
        <v>31</v>
      </c>
      <c r="F58" s="128">
        <v>60</v>
      </c>
    </row>
    <row r="59" spans="2:6">
      <c r="B59" s="128" t="s">
        <v>459</v>
      </c>
      <c r="C59" s="152" t="s">
        <v>460</v>
      </c>
      <c r="D59" s="128">
        <v>3</v>
      </c>
      <c r="E59" s="128">
        <v>31</v>
      </c>
      <c r="F59" s="128">
        <v>61</v>
      </c>
    </row>
    <row r="60" spans="2:6">
      <c r="B60" s="128" t="s">
        <v>461</v>
      </c>
      <c r="C60" s="152" t="s">
        <v>462</v>
      </c>
      <c r="D60" s="128">
        <v>3</v>
      </c>
      <c r="E60" s="128">
        <v>31</v>
      </c>
      <c r="F60" s="128">
        <v>62</v>
      </c>
    </row>
    <row r="61" spans="2:6">
      <c r="B61" s="128" t="s">
        <v>463</v>
      </c>
      <c r="C61" s="152" t="s">
        <v>464</v>
      </c>
      <c r="D61" s="128">
        <v>4</v>
      </c>
      <c r="E61" s="128">
        <v>31</v>
      </c>
      <c r="F61" s="128">
        <v>56</v>
      </c>
    </row>
    <row r="62" spans="2:6">
      <c r="B62" s="128" t="s">
        <v>465</v>
      </c>
      <c r="C62" s="152" t="s">
        <v>466</v>
      </c>
      <c r="D62" s="128">
        <v>4</v>
      </c>
      <c r="E62" s="128">
        <v>31</v>
      </c>
      <c r="F62" s="128">
        <v>57</v>
      </c>
    </row>
    <row r="63" spans="2:6">
      <c r="B63" s="128" t="s">
        <v>467</v>
      </c>
      <c r="C63" s="152" t="s">
        <v>468</v>
      </c>
      <c r="D63" s="128">
        <v>4</v>
      </c>
      <c r="E63" s="128">
        <v>31</v>
      </c>
      <c r="F63" s="128">
        <v>58</v>
      </c>
    </row>
    <row r="64" spans="2:6">
      <c r="B64" s="128" t="s">
        <v>469</v>
      </c>
      <c r="C64" s="152" t="s">
        <v>470</v>
      </c>
      <c r="D64" s="128">
        <v>4</v>
      </c>
      <c r="E64" s="128">
        <v>31</v>
      </c>
      <c r="F64" s="128">
        <v>59</v>
      </c>
    </row>
    <row r="65" spans="2:6">
      <c r="B65" s="128" t="s">
        <v>471</v>
      </c>
      <c r="C65" s="152" t="s">
        <v>472</v>
      </c>
      <c r="D65" s="128">
        <v>4</v>
      </c>
      <c r="E65" s="128">
        <v>31</v>
      </c>
      <c r="F65" s="128">
        <v>60</v>
      </c>
    </row>
    <row r="66" spans="2:6">
      <c r="B66" s="128" t="s">
        <v>473</v>
      </c>
      <c r="C66" s="152" t="s">
        <v>474</v>
      </c>
      <c r="D66" s="128">
        <v>4</v>
      </c>
      <c r="E66" s="128">
        <v>31</v>
      </c>
      <c r="F66" s="128">
        <v>61</v>
      </c>
    </row>
    <row r="67" spans="2:6">
      <c r="B67" s="128" t="s">
        <v>475</v>
      </c>
      <c r="C67" s="152" t="s">
        <v>476</v>
      </c>
      <c r="D67" s="128">
        <v>4</v>
      </c>
      <c r="E67" s="128">
        <v>31</v>
      </c>
      <c r="F67" s="128">
        <v>62</v>
      </c>
    </row>
    <row r="68" spans="2:6">
      <c r="B68" s="128" t="s">
        <v>477</v>
      </c>
      <c r="C68" s="152" t="s">
        <v>478</v>
      </c>
      <c r="D68" s="128">
        <v>5</v>
      </c>
      <c r="E68" s="128">
        <v>31</v>
      </c>
      <c r="F68" s="128">
        <v>56</v>
      </c>
    </row>
    <row r="69" spans="2:6">
      <c r="B69" s="128" t="s">
        <v>479</v>
      </c>
      <c r="C69" s="152" t="s">
        <v>480</v>
      </c>
      <c r="D69" s="128">
        <v>5</v>
      </c>
      <c r="E69" s="128">
        <v>31</v>
      </c>
      <c r="F69" s="128">
        <v>57</v>
      </c>
    </row>
    <row r="70" spans="2:6">
      <c r="B70" s="128" t="s">
        <v>481</v>
      </c>
      <c r="C70" s="152" t="s">
        <v>482</v>
      </c>
      <c r="D70" s="128">
        <v>5</v>
      </c>
      <c r="E70" s="128">
        <v>31</v>
      </c>
      <c r="F70" s="128">
        <v>58</v>
      </c>
    </row>
    <row r="71" spans="2:6">
      <c r="B71" s="128" t="s">
        <v>483</v>
      </c>
      <c r="C71" s="152" t="s">
        <v>484</v>
      </c>
      <c r="D71" s="128">
        <v>5</v>
      </c>
      <c r="E71" s="128">
        <v>31</v>
      </c>
      <c r="F71" s="128">
        <v>59</v>
      </c>
    </row>
    <row r="72" spans="2:6">
      <c r="B72" s="128" t="s">
        <v>485</v>
      </c>
      <c r="C72" s="152" t="s">
        <v>486</v>
      </c>
      <c r="D72" s="128">
        <v>5</v>
      </c>
      <c r="E72" s="128">
        <v>31</v>
      </c>
      <c r="F72" s="128">
        <v>60</v>
      </c>
    </row>
    <row r="73" spans="2:6">
      <c r="B73" s="128" t="s">
        <v>487</v>
      </c>
      <c r="C73" s="152" t="s">
        <v>488</v>
      </c>
      <c r="D73" s="128">
        <v>5</v>
      </c>
      <c r="E73" s="128">
        <v>31</v>
      </c>
      <c r="F73" s="128">
        <v>61</v>
      </c>
    </row>
    <row r="74" spans="2:6">
      <c r="B74" s="128" t="s">
        <v>489</v>
      </c>
      <c r="C74" s="152" t="s">
        <v>490</v>
      </c>
      <c r="D74" s="128">
        <v>5</v>
      </c>
      <c r="E74" s="128">
        <v>31</v>
      </c>
      <c r="F74" s="128">
        <v>62</v>
      </c>
    </row>
    <row r="75" spans="2:6">
      <c r="B75" s="128" t="s">
        <v>491</v>
      </c>
      <c r="C75" s="152" t="s">
        <v>492</v>
      </c>
      <c r="D75" s="128">
        <v>6</v>
      </c>
      <c r="E75" s="128">
        <v>31</v>
      </c>
      <c r="F75" s="128">
        <v>56</v>
      </c>
    </row>
    <row r="76" spans="2:6">
      <c r="B76" s="128" t="s">
        <v>493</v>
      </c>
      <c r="C76" s="152" t="s">
        <v>494</v>
      </c>
      <c r="D76" s="128">
        <v>6</v>
      </c>
      <c r="E76" s="128">
        <v>31</v>
      </c>
      <c r="F76" s="128">
        <v>57</v>
      </c>
    </row>
    <row r="77" spans="2:6">
      <c r="B77" s="128" t="s">
        <v>495</v>
      </c>
      <c r="C77" s="152" t="s">
        <v>496</v>
      </c>
      <c r="D77" s="128">
        <v>6</v>
      </c>
      <c r="E77" s="128">
        <v>31</v>
      </c>
      <c r="F77" s="128">
        <v>58</v>
      </c>
    </row>
    <row r="78" spans="2:6">
      <c r="B78" s="128" t="s">
        <v>497</v>
      </c>
      <c r="C78" s="152" t="s">
        <v>498</v>
      </c>
      <c r="D78" s="128">
        <v>6</v>
      </c>
      <c r="E78" s="128">
        <v>31</v>
      </c>
      <c r="F78" s="128">
        <v>59</v>
      </c>
    </row>
    <row r="79" spans="2:6">
      <c r="B79" s="128" t="s">
        <v>499</v>
      </c>
      <c r="C79" s="152" t="s">
        <v>500</v>
      </c>
      <c r="D79" s="128">
        <v>6</v>
      </c>
      <c r="E79" s="128">
        <v>31</v>
      </c>
      <c r="F79" s="128">
        <v>60</v>
      </c>
    </row>
    <row r="80" spans="2:6">
      <c r="B80" s="128" t="s">
        <v>501</v>
      </c>
      <c r="C80" s="152" t="s">
        <v>502</v>
      </c>
      <c r="D80" s="128">
        <v>6</v>
      </c>
      <c r="E80" s="128">
        <v>31</v>
      </c>
      <c r="F80" s="128">
        <v>61</v>
      </c>
    </row>
    <row r="81" spans="2:6">
      <c r="B81" s="128" t="s">
        <v>503</v>
      </c>
      <c r="C81" s="152" t="s">
        <v>504</v>
      </c>
      <c r="D81" s="128">
        <v>6</v>
      </c>
      <c r="E81" s="128">
        <v>31</v>
      </c>
      <c r="F81" s="128">
        <v>62</v>
      </c>
    </row>
    <row r="82" spans="2:6">
      <c r="B82" s="128" t="s">
        <v>505</v>
      </c>
      <c r="C82" s="152" t="s">
        <v>538</v>
      </c>
      <c r="D82" s="128">
        <v>7</v>
      </c>
      <c r="E82" s="128">
        <v>31</v>
      </c>
      <c r="F82" s="128">
        <v>56</v>
      </c>
    </row>
    <row r="83" spans="2:6">
      <c r="B83" s="128" t="s">
        <v>507</v>
      </c>
      <c r="C83" s="152" t="s">
        <v>539</v>
      </c>
      <c r="D83" s="128">
        <v>7</v>
      </c>
      <c r="E83" s="128">
        <v>31</v>
      </c>
      <c r="F83" s="128">
        <v>57</v>
      </c>
    </row>
    <row r="84" spans="2:6">
      <c r="B84" s="128" t="s">
        <v>509</v>
      </c>
      <c r="C84" s="152" t="s">
        <v>540</v>
      </c>
      <c r="D84" s="128">
        <v>7</v>
      </c>
      <c r="E84" s="128">
        <v>31</v>
      </c>
      <c r="F84" s="128">
        <v>58</v>
      </c>
    </row>
    <row r="85" spans="2:6">
      <c r="B85" s="128" t="s">
        <v>511</v>
      </c>
      <c r="C85" s="152" t="s">
        <v>541</v>
      </c>
      <c r="D85" s="128">
        <v>7</v>
      </c>
      <c r="E85" s="128">
        <v>31</v>
      </c>
      <c r="F85" s="128">
        <v>59</v>
      </c>
    </row>
    <row r="86" spans="2:6">
      <c r="B86" s="128" t="s">
        <v>513</v>
      </c>
      <c r="C86" s="152" t="s">
        <v>542</v>
      </c>
      <c r="D86" s="128">
        <v>7</v>
      </c>
      <c r="E86" s="128">
        <v>31</v>
      </c>
      <c r="F86" s="128">
        <v>60</v>
      </c>
    </row>
    <row r="87" spans="2:6">
      <c r="B87" s="128" t="s">
        <v>515</v>
      </c>
      <c r="C87" s="152" t="s">
        <v>543</v>
      </c>
      <c r="D87" s="128">
        <v>7</v>
      </c>
      <c r="E87" s="128">
        <v>31</v>
      </c>
      <c r="F87" s="128">
        <v>61</v>
      </c>
    </row>
    <row r="88" spans="2:6">
      <c r="B88" s="128" t="s">
        <v>517</v>
      </c>
      <c r="C88" s="152" t="s">
        <v>552</v>
      </c>
      <c r="D88" s="128">
        <v>7</v>
      </c>
      <c r="E88" s="128">
        <v>31</v>
      </c>
      <c r="F88" s="128">
        <v>62</v>
      </c>
    </row>
  </sheetData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8E5D4-DE1F-4B2A-B34A-4A5ADC25FB07}">
  <dimension ref="A2:F20"/>
  <sheetViews>
    <sheetView workbookViewId="0">
      <selection activeCell="I16" sqref="I15:I16"/>
    </sheetView>
  </sheetViews>
  <sheetFormatPr baseColWidth="10" defaultColWidth="11.42578125" defaultRowHeight="15"/>
  <sheetData>
    <row r="2" spans="1:6">
      <c r="C2" s="215" t="s">
        <v>337</v>
      </c>
      <c r="D2" s="215"/>
      <c r="E2" s="215"/>
      <c r="F2" s="215"/>
    </row>
    <row r="3" spans="1:6">
      <c r="B3" s="1" t="s">
        <v>518</v>
      </c>
      <c r="C3" s="1">
        <v>0</v>
      </c>
      <c r="D3" s="1">
        <v>1</v>
      </c>
      <c r="E3" s="1">
        <v>2</v>
      </c>
      <c r="F3" s="1">
        <v>3</v>
      </c>
    </row>
    <row r="4" spans="1:6">
      <c r="A4" s="134" t="s">
        <v>519</v>
      </c>
      <c r="B4" s="135">
        <v>1</v>
      </c>
      <c r="C4" s="1" t="str">
        <f>CONCATENATE("10.0.",TEXT(((BITWISE_AND('IP Address'!$D$20,B$4)/4)+7*8),"0"),".",TEXT((BITWISE_AND('IP Address'!$D$21,B$4)*64)+$C3+41,"0"))</f>
        <v>10.0.56.105</v>
      </c>
      <c r="D4" s="1" t="str">
        <f>CONCATENATE("10.0.",TEXT(((BITWISE_AND('IP Address'!$D$20,B$4)/4)+7*8),"0"),".",TEXT((BITWISE_AND('IP Address'!$D$21,B$4)*64)+$D3+41,"0"))</f>
        <v>10.0.56.106</v>
      </c>
      <c r="E4" s="1" t="str">
        <f>CONCATENATE("10.0.",TEXT(((BITWISE_AND('IP Address'!$D$20,B$4)/4)+7*8),"0"),".",TEXT((BITWISE_AND('IP Address'!$D$21,B$4)*64)+$E3+41,"0"))</f>
        <v>10.0.56.107</v>
      </c>
      <c r="F4" s="1" t="str">
        <f>CONCATENATE("10.0.",TEXT(((BITWISE_AND('IP Address'!$D$20,B$4)/4)+7*8),"0"),".",TEXT((BITWISE_AND('IP Address'!$D$21,B$4)*64)+$F3+41,"0"))</f>
        <v>10.0.56.108</v>
      </c>
    </row>
    <row r="5" spans="1:6">
      <c r="A5" s="135" t="s">
        <v>520</v>
      </c>
      <c r="B5" s="135">
        <v>2</v>
      </c>
      <c r="C5" s="1" t="str">
        <f>CONCATENATE("10.0.",TEXT(((BITWISE_AND('IP Address'!$D$20,$B5)/4)+7*8),"0"),".",TEXT((BITWISE_AND('IP Address'!$D$21,$B5)*64)+C$3+41,"0"))</f>
        <v>10.0.56.169</v>
      </c>
      <c r="D5" s="1" t="str">
        <f>CONCATENATE("10.0.",TEXT(((BITWISE_AND('IP Address'!$D$20,$B5)/4)+7*8),"0"),".",TEXT((BITWISE_AND('IP Address'!$D$21,$B5)*64)+D$3+41,"0"))</f>
        <v>10.0.56.170</v>
      </c>
      <c r="E5" s="1" t="str">
        <f>CONCATENATE("10.0.",TEXT(((BITWISE_AND('IP Address'!$D$20,$B5)/4)+7*8),"0"),".",TEXT((BITWISE_AND('IP Address'!$D$21,$B5)*64)+E$3+41,"0"))</f>
        <v>10.0.56.171</v>
      </c>
      <c r="F5" s="1" t="str">
        <f>CONCATENATE("10.0.",TEXT(((BITWISE_AND('IP Address'!$D$20,$B5)/4)+7*8),"0"),".",TEXT((BITWISE_AND('IP Address'!$D$21,$B5)*64)+F$3+41,"0"))</f>
        <v>10.0.56.172</v>
      </c>
    </row>
    <row r="6" spans="1:6">
      <c r="A6" s="135" t="s">
        <v>521</v>
      </c>
      <c r="B6" s="135">
        <v>3</v>
      </c>
      <c r="C6" s="1" t="str">
        <f>CONCATENATE("10.0.",TEXT(((BITWISE_AND('IP Address'!$D$20,$B6)/4)+7*8),"0"),".",TEXT((BITWISE_AND('IP Address'!$D$21,$B6)*64)+C$3+41,"0"))</f>
        <v>10.0.56.233</v>
      </c>
      <c r="D6" s="1" t="str">
        <f>CONCATENATE("10.0.",TEXT(((BITWISE_AND('IP Address'!$D$20,$B6)/4)+7*8),"0"),".",TEXT((BITWISE_AND('IP Address'!$D$21,$B6)*64)+D$3+41,"0"))</f>
        <v>10.0.56.234</v>
      </c>
      <c r="E6" s="1" t="str">
        <f>CONCATENATE("10.0.",TEXT(((BITWISE_AND('IP Address'!$D$20,$B6)/4)+7*8),"0"),".",TEXT((BITWISE_AND('IP Address'!$D$21,$B6)*64)+E$3+41,"0"))</f>
        <v>10.0.56.235</v>
      </c>
      <c r="F6" s="1" t="str">
        <f>CONCATENATE("10.0.",TEXT(((BITWISE_AND('IP Address'!$D$20,$B6)/4)+7*8),"0"),".",TEXT((BITWISE_AND('IP Address'!$D$21,$B6)*64)+F$3+41,"0"))</f>
        <v>10.0.56.236</v>
      </c>
    </row>
    <row r="7" spans="1:6">
      <c r="A7" s="135" t="s">
        <v>522</v>
      </c>
      <c r="B7" s="135">
        <v>4</v>
      </c>
      <c r="C7" s="1" t="str">
        <f>CONCATENATE("10.0.",TEXT(((BITWISE_AND('IP Address'!$D$20,$B7)/4)+7*8),"0"),".",TEXT((BITWISE_AND('IP Address'!$D$21,$B7)*64)+C$3+41,"0"))</f>
        <v>10.0.57.41</v>
      </c>
      <c r="D7" s="1" t="str">
        <f>CONCATENATE("10.0.",TEXT(((BITWISE_AND('IP Address'!$D$20,$B7)/4)+7*8),"0"),".",TEXT((BITWISE_AND('IP Address'!$D$21,$B7)*64)+D$3+41,"0"))</f>
        <v>10.0.57.42</v>
      </c>
      <c r="E7" s="1" t="str">
        <f>CONCATENATE("10.0.",TEXT(((BITWISE_AND('IP Address'!$D$20,$B7)/4)+7*8),"0"),".",TEXT((BITWISE_AND('IP Address'!$D$21,$B7)*64)+E$3+41,"0"))</f>
        <v>10.0.57.43</v>
      </c>
      <c r="F7" s="1" t="str">
        <f>CONCATENATE("10.0.",TEXT(((BITWISE_AND('IP Address'!$D$20,$B7)/4)+7*8),"0"),".",TEXT((BITWISE_AND('IP Address'!$D$21,$B7)*64)+F$3+41,"0"))</f>
        <v>10.0.57.44</v>
      </c>
    </row>
    <row r="8" spans="1:6">
      <c r="A8" s="135" t="s">
        <v>523</v>
      </c>
      <c r="B8" s="135">
        <v>5</v>
      </c>
      <c r="C8" s="1" t="str">
        <f>CONCATENATE("10.0.",TEXT(((BITWISE_AND('IP Address'!$D$20,$B8)/4)+7*8),"0"),".",TEXT((BITWISE_AND('IP Address'!$D$21,$B8)*64)+C$3+41,"0"))</f>
        <v>10.0.57.105</v>
      </c>
      <c r="D8" s="1" t="str">
        <f>CONCATENATE("10.0.",TEXT(((BITWISE_AND('IP Address'!$D$20,$B8)/4)+7*8),"0"),".",TEXT((BITWISE_AND('IP Address'!$D$21,$B8)*64)+D$3+41,"0"))</f>
        <v>10.0.57.106</v>
      </c>
      <c r="E8" s="1" t="str">
        <f>CONCATENATE("10.0.",TEXT(((BITWISE_AND('IP Address'!$D$20,$B8)/4)+7*8),"0"),".",TEXT((BITWISE_AND('IP Address'!$D$21,$B8)*64)+E$3+41,"0"))</f>
        <v>10.0.57.107</v>
      </c>
      <c r="F8" s="1" t="str">
        <f>CONCATENATE("10.0.",TEXT(((BITWISE_AND('IP Address'!$D$20,$B8)/4)+7*8),"0"),".",TEXT((BITWISE_AND('IP Address'!$D$21,$B8)*64)+F$3+41,"0"))</f>
        <v>10.0.57.108</v>
      </c>
    </row>
    <row r="9" spans="1:6">
      <c r="A9" s="135" t="s">
        <v>524</v>
      </c>
      <c r="B9" s="135">
        <v>6</v>
      </c>
      <c r="C9" s="1" t="str">
        <f>CONCATENATE("10.0.",TEXT(((BITWISE_AND('IP Address'!$D$20,$B9)/4)+7*8),"0"),".",TEXT((BITWISE_AND('IP Address'!$D$21,$B9)*64)+C$3+41,"0"))</f>
        <v>10.0.57.169</v>
      </c>
      <c r="D9" s="1" t="str">
        <f>CONCATENATE("10.0.",TEXT(((BITWISE_AND('IP Address'!$D$20,$B9)/4)+7*8),"0"),".",TEXT((BITWISE_AND('IP Address'!$D$21,$B9)*64)+D$3+41,"0"))</f>
        <v>10.0.57.170</v>
      </c>
      <c r="E9" s="1" t="str">
        <f>CONCATENATE("10.0.",TEXT(((BITWISE_AND('IP Address'!$D$20,$B9)/4)+7*8),"0"),".",TEXT((BITWISE_AND('IP Address'!$D$21,$B9)*64)+E$3+41,"0"))</f>
        <v>10.0.57.171</v>
      </c>
      <c r="F9" s="1" t="str">
        <f>CONCATENATE("10.0.",TEXT(((BITWISE_AND('IP Address'!$D$20,$B9)/4)+7*8),"0"),".",TEXT((BITWISE_AND('IP Address'!$D$21,$B9)*64)+F$3+41,"0"))</f>
        <v>10.0.57.172</v>
      </c>
    </row>
    <row r="10" spans="1:6">
      <c r="A10" s="135" t="s">
        <v>525</v>
      </c>
      <c r="B10" s="135">
        <v>7</v>
      </c>
      <c r="C10" s="1" t="str">
        <f>CONCATENATE("10.0.",TEXT(((BITWISE_AND('IP Address'!$D$20,$B10)/4)+7*8),"0"),".",TEXT((BITWISE_AND('IP Address'!$D$21,$B10)*64)+C$3+41,"0"))</f>
        <v>10.0.57.233</v>
      </c>
      <c r="D10" s="1" t="str">
        <f>CONCATENATE("10.0.",TEXT(((BITWISE_AND('IP Address'!$D$20,$B10)/4)+7*8),"0"),".",TEXT((BITWISE_AND('IP Address'!$D$21,$B10)*64)+D$3+41,"0"))</f>
        <v>10.0.57.234</v>
      </c>
      <c r="E10" s="1" t="str">
        <f>CONCATENATE("10.0.",TEXT(((BITWISE_AND('IP Address'!$D$20,$B10)/4)+7*8),"0"),".",TEXT((BITWISE_AND('IP Address'!$D$21,$B10)*64)+E$3+41,"0"))</f>
        <v>10.0.57.235</v>
      </c>
      <c r="F10" s="1" t="str">
        <f>CONCATENATE("10.0.",TEXT(((BITWISE_AND('IP Address'!$D$20,$B10)/4)+7*8),"0"),".",TEXT((BITWISE_AND('IP Address'!$D$21,$B10)*64)+F$3+41,"0"))</f>
        <v>10.0.57.236</v>
      </c>
    </row>
    <row r="11" spans="1:6">
      <c r="A11" s="135" t="s">
        <v>526</v>
      </c>
      <c r="B11" s="135">
        <v>8</v>
      </c>
      <c r="C11" s="1" t="str">
        <f>CONCATENATE("10.0.",TEXT(((BITWISE_AND('IP Address'!$D$20,$B11)/4)+7*8),"0"),".",TEXT((BITWISE_AND('IP Address'!$D$21,$B11)*64)+C$3+41,"0"))</f>
        <v>10.0.58.41</v>
      </c>
      <c r="D11" s="1" t="str">
        <f>CONCATENATE("10.0.",TEXT(((BITWISE_AND('IP Address'!$D$20,$B11)/4)+7*8),"0"),".",TEXT((BITWISE_AND('IP Address'!$D$21,$B11)*64)+D$3+41,"0"))</f>
        <v>10.0.58.42</v>
      </c>
      <c r="E11" s="1" t="str">
        <f>CONCATENATE("10.0.",TEXT(((BITWISE_AND('IP Address'!$D$20,$B11)/4)+7*8),"0"),".",TEXT((BITWISE_AND('IP Address'!$D$21,$B11)*64)+E$3+41,"0"))</f>
        <v>10.0.58.43</v>
      </c>
      <c r="F11" s="1" t="str">
        <f>CONCATENATE("10.0.",TEXT(((BITWISE_AND('IP Address'!$D$20,$B11)/4)+7*8),"0"),".",TEXT((BITWISE_AND('IP Address'!$D$21,$B11)*64)+F$3+41,"0"))</f>
        <v>10.0.58.44</v>
      </c>
    </row>
    <row r="12" spans="1:6">
      <c r="A12" s="135" t="s">
        <v>527</v>
      </c>
      <c r="B12" s="135">
        <v>9</v>
      </c>
      <c r="C12" s="1" t="str">
        <f>CONCATENATE("10.0.",TEXT(((BITWISE_AND('IP Address'!$D$20,$B12)/4)+7*8),"0"),".",TEXT((BITWISE_AND('IP Address'!$D$21,$B12)*64)+C$3+41,"0"))</f>
        <v>10.0.58.105</v>
      </c>
      <c r="D12" s="1" t="str">
        <f>CONCATENATE("10.0.",TEXT(((BITWISE_AND('IP Address'!$D$20,$B12)/4)+7*8),"0"),".",TEXT((BITWISE_AND('IP Address'!$D$21,$B12)*64)+D$3+41,"0"))</f>
        <v>10.0.58.106</v>
      </c>
      <c r="E12" s="1" t="str">
        <f>CONCATENATE("10.0.",TEXT(((BITWISE_AND('IP Address'!$D$20,$B12)/4)+7*8),"0"),".",TEXT((BITWISE_AND('IP Address'!$D$21,$B12)*64)+E$3+41,"0"))</f>
        <v>10.0.58.107</v>
      </c>
      <c r="F12" s="1" t="str">
        <f>CONCATENATE("10.0.",TEXT(((BITWISE_AND('IP Address'!$D$20,$B12)/4)+7*8),"0"),".",TEXT((BITWISE_AND('IP Address'!$D$21,$B12)*64)+F$3+41,"0"))</f>
        <v>10.0.58.108</v>
      </c>
    </row>
    <row r="13" spans="1:6">
      <c r="A13" s="135" t="s">
        <v>528</v>
      </c>
      <c r="B13" s="135">
        <v>10</v>
      </c>
      <c r="C13" s="1" t="str">
        <f>CONCATENATE("10.0.",TEXT(((BITWISE_AND('IP Address'!$D$20,$B13)/4)+7*8),"0"),".",TEXT((BITWISE_AND('IP Address'!$D$21,$B13)*64)+C$3+41,"0"))</f>
        <v>10.0.58.169</v>
      </c>
      <c r="D13" s="1" t="str">
        <f>CONCATENATE("10.0.",TEXT(((BITWISE_AND('IP Address'!$D$20,$B13)/4)+7*8),"0"),".",TEXT((BITWISE_AND('IP Address'!$D$21,$B13)*64)+D$3+41,"0"))</f>
        <v>10.0.58.170</v>
      </c>
      <c r="E13" s="1" t="str">
        <f>CONCATENATE("10.0.",TEXT(((BITWISE_AND('IP Address'!$D$20,$B13)/4)+7*8),"0"),".",TEXT((BITWISE_AND('IP Address'!$D$21,$B13)*64)+E$3+41,"0"))</f>
        <v>10.0.58.171</v>
      </c>
      <c r="F13" s="1" t="str">
        <f>CONCATENATE("10.0.",TEXT(((BITWISE_AND('IP Address'!$D$20,$B13)/4)+7*8),"0"),".",TEXT((BITWISE_AND('IP Address'!$D$21,$B13)*64)+F$3+41,"0"))</f>
        <v>10.0.58.172</v>
      </c>
    </row>
    <row r="14" spans="1:6">
      <c r="A14" s="135" t="s">
        <v>529</v>
      </c>
      <c r="B14" s="135">
        <v>11</v>
      </c>
      <c r="C14" s="1" t="str">
        <f>CONCATENATE("10.0.",TEXT(((BITWISE_AND('IP Address'!$D$20,$B14)/4)+7*8),"0"),".",TEXT((BITWISE_AND('IP Address'!$D$21,$B14)*64)+C$3+41,"0"))</f>
        <v>10.0.58.233</v>
      </c>
      <c r="D14" s="1" t="str">
        <f>CONCATENATE("10.0.",TEXT(((BITWISE_AND('IP Address'!$D$20,$B14)/4)+7*8),"0"),".",TEXT((BITWISE_AND('IP Address'!$D$21,$B14)*64)+D$3+41,"0"))</f>
        <v>10.0.58.234</v>
      </c>
      <c r="E14" s="1" t="str">
        <f>CONCATENATE("10.0.",TEXT(((BITWISE_AND('IP Address'!$D$20,$B14)/4)+7*8),"0"),".",TEXT((BITWISE_AND('IP Address'!$D$21,$B14)*64)+E$3+41,"0"))</f>
        <v>10.0.58.235</v>
      </c>
      <c r="F14" s="1" t="str">
        <f>CONCATENATE("10.0.",TEXT(((BITWISE_AND('IP Address'!$D$20,$B14)/4)+7*8),"0"),".",TEXT((BITWISE_AND('IP Address'!$D$21,$B14)*64)+F$3+41,"0"))</f>
        <v>10.0.58.236</v>
      </c>
    </row>
    <row r="15" spans="1:6">
      <c r="A15" s="135" t="s">
        <v>530</v>
      </c>
      <c r="B15" s="135">
        <v>12</v>
      </c>
      <c r="C15" s="1" t="str">
        <f>CONCATENATE("10.0.",TEXT(((BITWISE_AND('IP Address'!$D$20,$B15)/4)+7*8),"0"),".",TEXT((BITWISE_AND('IP Address'!$D$21,$B15)*64)+C$3+41,"0"))</f>
        <v>10.0.59.41</v>
      </c>
      <c r="D15" s="1" t="str">
        <f>CONCATENATE("10.0.",TEXT(((BITWISE_AND('IP Address'!$D$20,$B15)/4)+7*8),"0"),".",TEXT((BITWISE_AND('IP Address'!$D$21,$B15)*64)+D$3+41,"0"))</f>
        <v>10.0.59.42</v>
      </c>
      <c r="E15" s="1" t="str">
        <f>CONCATENATE("10.0.",TEXT(((BITWISE_AND('IP Address'!$D$20,$B15)/4)+7*8),"0"),".",TEXT((BITWISE_AND('IP Address'!$D$21,$B15)*64)+E$3+41,"0"))</f>
        <v>10.0.59.43</v>
      </c>
      <c r="F15" s="1" t="str">
        <f>CONCATENATE("10.0.",TEXT(((BITWISE_AND('IP Address'!$D$20,$B15)/4)+7*8),"0"),".",TEXT((BITWISE_AND('IP Address'!$D$21,$B15)*64)+F$3+41,"0"))</f>
        <v>10.0.59.44</v>
      </c>
    </row>
    <row r="16" spans="1:6">
      <c r="A16" s="135" t="s">
        <v>531</v>
      </c>
      <c r="B16" s="135">
        <v>13</v>
      </c>
      <c r="C16" s="1" t="str">
        <f>CONCATENATE("10.0.",TEXT(((BITWISE_AND('IP Address'!$D$20,$B16)/4)+7*8),"0"),".",TEXT((BITWISE_AND('IP Address'!$D$21,$B16)*64)+C$3+41,"0"))</f>
        <v>10.0.59.105</v>
      </c>
      <c r="D16" s="1" t="str">
        <f>CONCATENATE("10.0.",TEXT(((BITWISE_AND('IP Address'!$D$20,$B16)/4)+7*8),"0"),".",TEXT((BITWISE_AND('IP Address'!$D$21,$B16)*64)+D$3+41,"0"))</f>
        <v>10.0.59.106</v>
      </c>
      <c r="E16" s="1" t="str">
        <f>CONCATENATE("10.0.",TEXT(((BITWISE_AND('IP Address'!$D$20,$B16)/4)+7*8),"0"),".",TEXT((BITWISE_AND('IP Address'!$D$21,$B16)*64)+E$3+41,"0"))</f>
        <v>10.0.59.107</v>
      </c>
      <c r="F16" s="1" t="str">
        <f>CONCATENATE("10.0.",TEXT(((BITWISE_AND('IP Address'!$D$20,$B16)/4)+7*8),"0"),".",TEXT((BITWISE_AND('IP Address'!$D$21,$B16)*64)+F$3+41,"0"))</f>
        <v>10.0.59.108</v>
      </c>
    </row>
    <row r="17" spans="1:6">
      <c r="A17" s="1" t="s">
        <v>532</v>
      </c>
      <c r="B17" s="1">
        <v>14</v>
      </c>
      <c r="C17" s="1" t="str">
        <f>CONCATENATE("10.0.",TEXT(((BITWISE_AND('IP Address'!$D$20,$B17)/4)+7*8),"0"),".",TEXT((BITWISE_AND('IP Address'!$D$21,$B17)*64)+C$3+41,"0"))</f>
        <v>10.0.59.169</v>
      </c>
      <c r="D17" s="1" t="str">
        <f>CONCATENATE("10.0.",TEXT(((BITWISE_AND('IP Address'!$D$20,$B17)/4)+7*8),"0"),".",TEXT((BITWISE_AND('IP Address'!$D$21,$B17)*64)+D$3+41,"0"))</f>
        <v>10.0.59.170</v>
      </c>
      <c r="E17" s="1" t="str">
        <f>CONCATENATE("10.0.",TEXT(((BITWISE_AND('IP Address'!$D$20,$B17)/4)+7*8),"0"),".",TEXT((BITWISE_AND('IP Address'!$D$21,$B17)*64)+E$3+41,"0"))</f>
        <v>10.0.59.171</v>
      </c>
      <c r="F17" s="1" t="str">
        <f>CONCATENATE("10.0.",TEXT(((BITWISE_AND('IP Address'!$D$20,$B17)/4)+7*8),"0"),".",TEXT((BITWISE_AND('IP Address'!$D$21,$B17)*64)+F$3+41,"0"))</f>
        <v>10.0.59.172</v>
      </c>
    </row>
    <row r="18" spans="1:6">
      <c r="A18" s="1" t="s">
        <v>533</v>
      </c>
      <c r="B18" s="1">
        <v>15</v>
      </c>
      <c r="C18" s="1" t="str">
        <f>CONCATENATE("10.0.",TEXT(((BITWISE_AND('IP Address'!$D$20,$B18)/4)+7*8),"0"),".",TEXT((BITWISE_AND('IP Address'!$D$21,$B18)*64)+C$3+41,"0"))</f>
        <v>10.0.59.233</v>
      </c>
      <c r="D18" s="1" t="str">
        <f>CONCATENATE("10.0.",TEXT(((BITWISE_AND('IP Address'!$D$20,$B18)/4)+7*8),"0"),".",TEXT((BITWISE_AND('IP Address'!$D$21,$B18)*64)+D$3+41,"0"))</f>
        <v>10.0.59.234</v>
      </c>
      <c r="E18" s="1" t="str">
        <f>CONCATENATE("10.0.",TEXT(((BITWISE_AND('IP Address'!$D$20,$B18)/4)+7*8),"0"),".",TEXT((BITWISE_AND('IP Address'!$D$21,$B18)*64)+E$3+41,"0"))</f>
        <v>10.0.59.235</v>
      </c>
      <c r="F18" s="1" t="str">
        <f>CONCATENATE("10.0.",TEXT(((BITWISE_AND('IP Address'!$D$20,$B18)/4)+7*8),"0"),".",TEXT((BITWISE_AND('IP Address'!$D$21,$B18)*64)+F$3+41,"0"))</f>
        <v>10.0.59.236</v>
      </c>
    </row>
    <row r="19" spans="1:6">
      <c r="A19" s="1" t="s">
        <v>534</v>
      </c>
      <c r="B19" s="1">
        <v>16</v>
      </c>
      <c r="C19" s="1" t="str">
        <f>CONCATENATE("10.0.",TEXT(((BITWISE_AND('IP Address'!$D$20,$B19)/4)+7*8),"0"),".",TEXT((BITWISE_AND('IP Address'!$D$21,$B19)*64)+C$3+41,"0"))</f>
        <v>10.0.60.41</v>
      </c>
      <c r="D19" s="1" t="str">
        <f>CONCATENATE("10.0.",TEXT(((BITWISE_AND('IP Address'!$D$20,$B19)/4)+7*8),"0"),".",TEXT((BITWISE_AND('IP Address'!$D$21,$B19)*64)+D$3+41,"0"))</f>
        <v>10.0.60.42</v>
      </c>
      <c r="E19" s="1" t="str">
        <f>CONCATENATE("10.0.",TEXT(((BITWISE_AND('IP Address'!$D$20,$B19)/4)+7*8),"0"),".",TEXT((BITWISE_AND('IP Address'!$D$21,$B19)*64)+E$3+41,"0"))</f>
        <v>10.0.60.43</v>
      </c>
      <c r="F19" s="1" t="str">
        <f>CONCATENATE("10.0.",TEXT(((BITWISE_AND('IP Address'!$D$20,$B19)/4)+7*8),"0"),".",TEXT((BITWISE_AND('IP Address'!$D$21,$B19)*64)+F$3+41,"0"))</f>
        <v>10.0.60.44</v>
      </c>
    </row>
    <row r="20" spans="1:6">
      <c r="A20" s="1" t="s">
        <v>535</v>
      </c>
      <c r="B20" s="1">
        <v>17</v>
      </c>
      <c r="C20" s="1" t="str">
        <f>CONCATENATE("10.0.",TEXT(((BITWISE_AND('IP Address'!$D$20,$B20)/4)+7*8),"0"),".",TEXT((BITWISE_AND('IP Address'!$D$21,$B20)*64)+C$3+41,"0"))</f>
        <v>10.0.60.105</v>
      </c>
      <c r="D20" s="1" t="str">
        <f>CONCATENATE("10.0.",TEXT(((BITWISE_AND('IP Address'!$D$20,$B20)/4)+7*8),"0"),".",TEXT((BITWISE_AND('IP Address'!$D$21,$B20)*64)+D$3+41,"0"))</f>
        <v>10.0.60.106</v>
      </c>
      <c r="E20" s="1" t="str">
        <f>CONCATENATE("10.0.",TEXT(((BITWISE_AND('IP Address'!$D$20,$B20)/4)+7*8),"0"),".",TEXT((BITWISE_AND('IP Address'!$D$21,$B20)*64)+E$3+41,"0"))</f>
        <v>10.0.60.107</v>
      </c>
      <c r="F20" s="1" t="str">
        <f>CONCATENATE("10.0.",TEXT(((BITWISE_AND('IP Address'!$D$20,$B20)/4)+7*8),"0"),".",TEXT((BITWISE_AND('IP Address'!$D$21,$B20)*64)+F$3+41,"0"))</f>
        <v>10.0.60.108</v>
      </c>
    </row>
  </sheetData>
  <mergeCells count="1">
    <mergeCell ref="C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77B006D01D38748996C5CFF90559759" ma:contentTypeVersion="16" ma:contentTypeDescription="Crear nuevo documento." ma:contentTypeScope="" ma:versionID="2945b74430e98afee35ff4c260c8f03f">
  <xsd:schema xmlns:xsd="http://www.w3.org/2001/XMLSchema" xmlns:xs="http://www.w3.org/2001/XMLSchema" xmlns:p="http://schemas.microsoft.com/office/2006/metadata/properties" xmlns:ns2="30750f52-f124-4966-ad6b-442605a83ef5" xmlns:ns3="d60fbf00-bc23-4322-916b-a1e473d417a7" xmlns:ns4="2be4acc5-6c11-45fb-afd5-ed6d71b04248" targetNamespace="http://schemas.microsoft.com/office/2006/metadata/properties" ma:root="true" ma:fieldsID="c9024ab119d989c171762e25a457b749" ns2:_="" ns3:_="" ns4:_="">
    <xsd:import namespace="30750f52-f124-4966-ad6b-442605a83ef5"/>
    <xsd:import namespace="d60fbf00-bc23-4322-916b-a1e473d417a7"/>
    <xsd:import namespace="2be4acc5-6c11-45fb-afd5-ed6d71b042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750f52-f124-4966-ad6b-442605a83e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da92717a-1311-45b0-94ba-b2e62c816a0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fbf00-bc23-4322-916b-a1e473d417a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e4acc5-6c11-45fb-afd5-ed6d71b0424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dd78d83-493e-4e19-9bd8-fb26de6f730d}" ma:internalName="TaxCatchAll" ma:showField="CatchAllData" ma:web="2be4acc5-6c11-45fb-afd5-ed6d71b042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0750f52-f124-4966-ad6b-442605a83ef5">
      <Terms xmlns="http://schemas.microsoft.com/office/infopath/2007/PartnerControls"/>
    </lcf76f155ced4ddcb4097134ff3c332f>
    <TaxCatchAll xmlns="2be4acc5-6c11-45fb-afd5-ed6d71b04248" xsi:nil="true"/>
  </documentManagement>
</p:properties>
</file>

<file path=customXml/itemProps1.xml><?xml version="1.0" encoding="utf-8"?>
<ds:datastoreItem xmlns:ds="http://schemas.openxmlformats.org/officeDocument/2006/customXml" ds:itemID="{A29C6757-3359-43BC-87B3-A6D50955F7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750f52-f124-4966-ad6b-442605a83ef5"/>
    <ds:schemaRef ds:uri="d60fbf00-bc23-4322-916b-a1e473d417a7"/>
    <ds:schemaRef ds:uri="2be4acc5-6c11-45fb-afd5-ed6d71b042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A160FD-86AF-4D15-B00B-B410884AB0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B5ABE9-A18F-42A7-99A2-EFCB2112B9E3}">
  <ds:schemaRefs>
    <ds:schemaRef ds:uri="http://schemas.microsoft.com/office/2006/metadata/properties"/>
    <ds:schemaRef ds:uri="http://schemas.microsoft.com/office/infopath/2007/PartnerControls"/>
    <ds:schemaRef ds:uri="30750f52-f124-4966-ad6b-442605a83ef5"/>
    <ds:schemaRef ds:uri="2be4acc5-6c11-45fb-afd5-ed6d71b0424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Changelog</vt:lpstr>
      <vt:lpstr>IP Address</vt:lpstr>
      <vt:lpstr>Train IP Addressing (ECN)</vt:lpstr>
      <vt:lpstr>IP Address (ETB)</vt:lpstr>
      <vt:lpstr>Train IP Addressing (ETB)</vt:lpstr>
      <vt:lpstr>Reserved Fixed IPs</vt:lpstr>
      <vt:lpstr>Coaches Types and Number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González Mancebo</dc:creator>
  <cp:keywords/>
  <dc:description/>
  <cp:lastModifiedBy>José María Muñoz de la Rosa</cp:lastModifiedBy>
  <cp:revision/>
  <dcterms:created xsi:type="dcterms:W3CDTF">2020-04-27T06:50:23Z</dcterms:created>
  <dcterms:modified xsi:type="dcterms:W3CDTF">2025-11-01T12:34:07Z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0x010100A77B006D01D38748996C5CFF90559759</vt:lpwstr>
  </property>
  <property fmtid="{D5CDD505-2E9C-101B-9397-08002B2CF9AE}" pid="3" name="MediaServiceImageTags">
    <vt:lpwstr/>
  </property>
</Properties>
</file>